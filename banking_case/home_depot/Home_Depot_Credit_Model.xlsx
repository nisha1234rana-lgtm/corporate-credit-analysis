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b04ad774d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7e0fc4d41734b86"/>
    <x:sheet xmlns:r="http://schemas.openxmlformats.org/officeDocument/2006/relationships" name="Historical Financials" sheetId="2" r:id="R13ecde3a340e471f"/>
    <x:sheet xmlns:r="http://schemas.openxmlformats.org/officeDocument/2006/relationships" name="Capital Structure" sheetId="3" r:id="Re2a7c31392794f63"/>
    <x:sheet xmlns:r="http://schemas.openxmlformats.org/officeDocument/2006/relationships" name="Debt Maturities" sheetId="4" r:id="R730a5d88997a4c56"/>
    <x:sheet xmlns:r="http://schemas.openxmlformats.org/officeDocument/2006/relationships" name="Financing Scenario" sheetId="5" r:id="Rbcb6186f2cb14b62"/>
    <x:sheet xmlns:r="http://schemas.openxmlformats.org/officeDocument/2006/relationships" name="Debt Capacity" sheetId="6" r:id="R7de33d51f8124650"/>
    <x:sheet xmlns:r="http://schemas.openxmlformats.org/officeDocument/2006/relationships" name="Peer Comparison" sheetId="7" r:id="R32388712120a4ed6"/>
    <x:sheet xmlns:r="http://schemas.openxmlformats.org/officeDocument/2006/relationships" name="Sources" sheetId="8" r:id="Rf7e5f3dbcc09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;[Red]($0.0);-"/>
    <x:numFmt numFmtId="201" formatCode="0.0%;[Red](0.0%);-"/>
    <x:numFmt numFmtId="202" formatCode="0.00x;[Red](0.00x);-"/>
    <x:numFmt numFmtId="203" formatCode="0.0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6100"/>
      <x:name val="Carlito"/>
    </x:font>
    <x:font>
      <x:b/>
      <x:sz val="11"/>
      <x:color rgb="FF132238"/>
      <x:name val="Carlito"/>
    </x:font>
    <x:font>
      <x:sz val="11"/>
      <x:color rgb="FF008000"/>
      <x:name val="Carlito"/>
    </x:font>
    <x:font>
      <x:b/>
      <x:sz val="11"/>
      <x:color rgb="FF9C0006"/>
      <x:name val="Carlito"/>
    </x:font>
    <x:font>
      <x:sz val="11"/>
      <x:color rgb="FF000000"/>
      <x:name val="Carlito"/>
    </x:font>
    <x:font>
      <x:i/>
      <x:sz val="11"/>
      <x:color rgb="FF66708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2F3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1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200" fontId="4" fillId="3" borderId="0" xfId="0" applyNumberFormat="1" applyFont="1" applyFill="1" applyBorder="1"/>
    <x:xf numFmtId="200" fontId="4" fillId="3" borderId="1" xfId="0" applyNumberFormat="1" applyFont="1" applyFill="1" applyBorder="1"/>
    <x:xf numFmtId="201" fontId="4" fillId="3" borderId="0" xfId="0" applyNumberFormat="1" applyFont="1" applyFill="1" applyBorder="1"/>
    <x:xf numFmtId="201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200" fontId="4" fillId="0" borderId="0" xfId="0" applyNumberFormat="1" applyFont="1" applyFill="1" applyBorder="1"/>
    <x:xf numFmtId="200" fontId="9" fillId="0" borderId="0" xfId="0" applyNumberFormat="1" applyFont="1" applyFill="1" applyBorder="1"/>
    <x:xf numFmtId="200" fontId="4" fillId="0" borderId="1" xfId="0" applyNumberFormat="1" applyFont="1" applyFill="1" applyBorder="1"/>
    <x:xf numFmtId="200" fontId="9" fillId="0" borderId="1" xfId="0" applyNumberFormat="1" applyFont="1" applyFill="1" applyBorder="1"/>
    <x:xf numFmtId="202" fontId="4" fillId="0" borderId="0" xfId="0" applyNumberFormat="1" applyFont="1" applyFill="1" applyBorder="1"/>
    <x:xf numFmtId="202" fontId="9" fillId="0" borderId="0" xfId="0" applyNumberFormat="1" applyFont="1" applyFill="1" applyBorder="1"/>
    <x:xf numFmtId="202" fontId="4" fillId="0" borderId="1" xfId="0" applyNumberFormat="1" applyFont="1" applyFill="1" applyBorder="1"/>
    <x:xf numFmtId="202" fontId="9" fillId="0" borderId="1" xfId="0" applyNumberFormat="1" applyFont="1" applyFill="1" applyBorder="1"/>
    <x:xf numFmtId="202" fontId="4" fillId="3" borderId="0" xfId="0" applyNumberFormat="1" applyFont="1" applyFill="1" applyBorder="1"/>
    <x:xf numFmtId="202" fontId="4" fillId="3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4" fillId="3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201" fontId="4" fillId="3" borderId="1" xfId="0" applyNumberFormat="1" applyFont="1" applyFill="1" applyBorder="1" applyAlignment="1">
      <x:alignment vertical="center"/>
    </x:xf>
    <x:xf numFmtId="202" fontId="7" fillId="0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9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9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2" fontId="4" fillId="3" borderId="1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0" fontId="4" fillId="3" borderId="1" xfId="0" applyNumberFormat="1" applyFont="1" applyFill="1" applyBorder="1" applyAlignment="1">
      <x:alignment vertical="center" wrapText="1"/>
    </x:xf>
    <x:xf numFmtId="201" fontId="4" fillId="3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705aad0cf24d4a" /><Relationship Type="http://schemas.openxmlformats.org/officeDocument/2006/relationships/theme" Target="/xl/theme/theme1.xml" Id="R50841cd6499941a2" /><Relationship Type="http://schemas.openxmlformats.org/officeDocument/2006/relationships/sharedStrings" Target="/xl/sharedStrings.xml" Id="R161f8ef6825246a7" /><Relationship Type="http://schemas.openxmlformats.org/officeDocument/2006/relationships/worksheet" Target="/xl/worksheets/sheet1.xml" Id="R07e0fc4d41734b86" /><Relationship Type="http://schemas.openxmlformats.org/officeDocument/2006/relationships/worksheet" Target="/xl/worksheets/sheet2.xml" Id="R13ecde3a340e471f" /><Relationship Type="http://schemas.openxmlformats.org/officeDocument/2006/relationships/worksheet" Target="/xl/worksheets/sheet3.xml" Id="Re2a7c31392794f63" /><Relationship Type="http://schemas.openxmlformats.org/officeDocument/2006/relationships/worksheet" Target="/xl/worksheets/sheet4.xml" Id="R730a5d88997a4c56" /><Relationship Type="http://schemas.openxmlformats.org/officeDocument/2006/relationships/worksheet" Target="/xl/worksheets/sheet5.xml" Id="Rbcb6186f2cb14b62" /><Relationship Type="http://schemas.openxmlformats.org/officeDocument/2006/relationships/worksheet" Target="/xl/worksheets/sheet6.xml" Id="R7de33d51f8124650" /><Relationship Type="http://schemas.openxmlformats.org/officeDocument/2006/relationships/worksheet" Target="/xl/worksheets/sheet7.xml" Id="R32388712120a4ed6" /><Relationship Type="http://schemas.openxmlformats.org/officeDocument/2006/relationships/worksheet" Target="/xl/worksheets/sheet8.xml" Id="Rf7e5f3dbcc094b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14985a9af849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Long-Term Debt Maturities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Principal Due ($B)</c:v>
          </c:tx>
          <c:cat>
            <c:strRef>
              <c:f>'Debt Maturities'!$A$5:$A$10</c:f>
              <c:strCache>
                <c:ptCount val="0"/>
              </c:strCache>
            </c:strRef>
          </c:cat>
          <c:val>
            <c:numRef>
              <c:f>'Debt Maturities'!$B$5:$B$10</c:f>
              <c:numCache>
                <c:formatCode>$0.0;[Red]($0.0);-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14985a9af849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68a55efe2c84b8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8" hidden="0" customWidth="1"/>
    <x:col min="4" max="4" width="8" hidden="0" customWidth="1"/>
    <x:col min="5" max="5" width="4" hidden="0" customWidth="1"/>
    <x:col min="6" max="6" width="32" hidden="0" customWidth="1"/>
    <x:col min="7" max="7" width="18" hidden="0" customWidth="1"/>
    <x:col min="8" max="8" width="18" hidden="0" customWidth="1"/>
  </x:cols>
  <x:sheetData>
    <x:row r="1" ht="18" customHeight="1">
      <x:c r="A1" s="5" t="str">
        <x:v>Home Depot - Corporate Banking Credit Case</x:v>
      </x:c>
      <x:c r="B1" s="78"/>
      <x:c r="C1" s="78"/>
      <x:c r="D1" s="78"/>
      <x:c r="E1" s="78"/>
      <x:c r="F1" s="78"/>
      <x:c r="G1" s="78"/>
      <x:c r="H1" s="78"/>
      <x:c r="I1" s="78"/>
    </x:row>
    <x:row r="2" ht="18" customHeight="1">
      <x:c r="A2" s="78"/>
      <x:c r="B2" s="78"/>
      <x:c r="C2" s="78"/>
      <x:c r="D2" s="78"/>
      <x:c r="E2" s="78"/>
      <x:c r="F2" s="78"/>
      <x:c r="G2" s="78"/>
      <x:c r="H2" s="78"/>
      <x:c r="I2" s="78"/>
    </x:row>
    <x:row r="3" ht="18" customHeight="1">
      <x:c r="A3" s="79" t="str">
        <x:v>Illustrative $3.0B incremental senior unsecured debt underwriting case | $ in billions unless noted</x:v>
      </x:c>
      <x:c r="B3" s="78"/>
      <x:c r="C3" s="78"/>
      <x:c r="D3" s="78"/>
      <x:c r="E3" s="78"/>
      <x:c r="F3" s="78"/>
      <x:c r="G3" s="78"/>
      <x:c r="H3" s="78"/>
      <x:c r="I3" s="78"/>
    </x:row>
    <x:row r="4" ht="18" customHeight="1">
      <x:c r="A4" s="78"/>
      <x:c r="B4" s="78"/>
      <x:c r="C4" s="78"/>
      <x:c r="D4" s="78"/>
      <x:c r="E4" s="78"/>
      <x:c r="F4" s="78"/>
      <x:c r="G4" s="78"/>
      <x:c r="H4" s="78"/>
      <x:c r="I4" s="78"/>
    </x:row>
    <x:row r="5" ht="18" customHeight="1">
      <x:c r="A5" s="14" t="str">
        <x:v>Transaction &amp; Recommendation</x:v>
      </x:c>
      <x:c r="B5" s="78"/>
      <x:c r="C5" s="78"/>
      <x:c r="D5" s="78"/>
      <x:c r="E5" s="78"/>
      <x:c r="F5" s="14" t="str">
        <x:v>Key Underwriting Outputs</x:v>
      </x:c>
      <x:c r="G5" s="78"/>
      <x:c r="H5" s="78"/>
      <x:c r="I5" s="78"/>
    </x:row>
    <x:row r="6" ht="18" customHeight="1">
      <x:c r="A6" s="124" t="str">
        <x:v>Borrower</x:v>
      </x:c>
      <x:c r="B6" s="86" t="str">
        <x:v>The Home Depot, Inc.</x:v>
      </x:c>
      <x:c r="C6" s="78"/>
      <x:c r="D6" s="78"/>
      <x:c r="E6" s="78"/>
      <x:c r="F6" s="34" t="str">
        <x:v>Metric</x:v>
      </x:c>
      <x:c r="G6" s="34" t="str">
        <x:v>Value</x:v>
      </x:c>
      <x:c r="H6" s="78"/>
      <x:c r="I6" s="78"/>
    </x:row>
    <x:row r="7" ht="18" customHeight="1">
      <x:c r="A7" s="124" t="str">
        <x:v>Proposed Financing</x:v>
      </x:c>
      <x:c r="B7" s="116" t="n">
        <x:v>3</x:v>
      </x:c>
      <x:c r="C7" s="78"/>
      <x:c r="D7" s="78"/>
      <x:c r="E7" s="78"/>
      <x:c r="F7" s="78" t="str">
        <x:v>Current Funded Debt</x:v>
      </x:c>
      <x:c r="G7" s="81" t="n">
        <x:f>'Capital Structure'!B12</x:f>
        <x:v>55.772</x:v>
      </x:c>
      <x:c r="H7" s="78"/>
      <x:c r="I7" s="78"/>
    </x:row>
    <x:row r="8" ht="18" customHeight="1">
      <x:c r="A8" s="124" t="str">
        <x:v>Illustrative New Debt Rate</x:v>
      </x:c>
      <x:c r="B8" s="117" t="n">
        <x:v>0.06</x:v>
      </x:c>
      <x:c r="C8" s="78"/>
      <x:c r="D8" s="78"/>
      <x:c r="E8" s="78"/>
      <x:c r="F8" s="78" t="str">
        <x:v>Current Debt / EBITDA</x:v>
      </x:c>
      <x:c r="G8" s="83" t="n">
        <x:f>'Capital Structure'!B18</x:f>
        <x:v>2.229898844508416</x:v>
      </x:c>
      <x:c r="H8" s="78"/>
      <x:c r="I8" s="78"/>
    </x:row>
    <x:row r="9" ht="18" customHeight="1">
      <x:c r="A9" s="124" t="str">
        <x:v>Purpose</x:v>
      </x:c>
      <x:c r="B9" s="86" t="str">
        <x:v>Incremental financing / general corporate purposes</x:v>
      </x:c>
      <x:c r="C9" s="78"/>
      <x:c r="D9" s="78"/>
      <x:c r="E9" s="78"/>
      <x:c r="F9" s="78" t="str">
        <x:v>Pro Forma Debt / EBITDA</x:v>
      </x:c>
      <x:c r="G9" s="83" t="n">
        <x:f>'Financing Scenario'!H7</x:f>
        <x:v>2.349846067730198</x:v>
      </x:c>
      <x:c r="H9" s="78"/>
      <x:c r="I9" s="78"/>
    </x:row>
    <x:row r="10" ht="18" customHeight="1">
      <x:c r="A10" s="124" t="str">
        <x:v>Recommendation</x:v>
      </x:c>
      <x:c r="B10" s="118" t="str">
        <x:v>LEND WITH CONDITIONS</x:v>
      </x:c>
      <x:c r="C10" s="78"/>
      <x:c r="D10" s="78"/>
      <x:c r="E10" s="78"/>
      <x:c r="F10" s="78" t="str">
        <x:v>Moderate Downside Debt / EBITDA</x:v>
      </x:c>
      <x:c r="G10" s="83" t="n">
        <x:f>'Financing Scenario'!H8</x:f>
        <x:v>2.647869072939237</x:v>
      </x:c>
      <x:c r="H10" s="78"/>
      <x:c r="I10" s="78"/>
    </x:row>
    <x:row r="11" ht="18" customHeight="1">
      <x:c r="A11" s="124" t="str">
        <x:v>Primary Constraint</x:v>
      </x:c>
      <x:c r="B11" s="86" t="str">
        <x:v>Leverage under downside</x:v>
      </x:c>
      <x:c r="C11" s="78"/>
      <x:c r="D11" s="78"/>
      <x:c r="E11" s="78"/>
      <x:c r="F11" s="78" t="str">
        <x:v>Pro Forma Interest Coverage</x:v>
      </x:c>
      <x:c r="G11" s="83" t="n">
        <x:f>'Financing Scenario'!I7</x:f>
        <x:v>8.059413580246913</x:v>
      </x:c>
      <x:c r="H11" s="78"/>
      <x:c r="I11" s="78"/>
    </x:row>
    <x:row r="12" ht="34" customHeight="1">
      <x:c r="A12" s="124" t="str">
        <x:v>Key Rationale</x:v>
      </x:c>
      <x:c r="B12" s="86" t="str">
        <x:v>Strong FCF and coverage; manageable base leverage, but downside leverage rises above target.</x:v>
      </x:c>
      <x:c r="C12" s="78"/>
      <x:c r="D12" s="78"/>
      <x:c r="E12" s="78"/>
      <x:c r="F12" s="78" t="str">
        <x:v>Moderate Downside FCF</x:v>
      </x:c>
      <x:c r="G12" s="81" t="n">
        <x:f>'Financing Scenario'!G15</x:f>
        <x:v>10.628588320638919</x:v>
      </x:c>
      <x:c r="H12" s="78"/>
      <x:c r="I12" s="78"/>
    </x:row>
    <x:row r="13" ht="18" customHeight="1">
      <x:c r="A13" s="78"/>
      <x:c r="B13" s="78"/>
      <x:c r="C13" s="78"/>
      <x:c r="D13" s="78"/>
      <x:c r="E13" s="78"/>
      <x:c r="F13" s="78" t="str">
        <x:v>Moderate Downside Debt Capacity</x:v>
      </x:c>
      <x:c r="G13" s="81" t="n">
        <x:f>'Debt Capacity'!B13</x:f>
        <x:v>5.266894125000007</x:v>
      </x:c>
      <x:c r="H13" s="78"/>
      <x:c r="I13" s="78"/>
    </x:row>
    <x:row r="14" ht="18" customHeight="1">
      <x:c r="A14" s="78"/>
      <x:c r="B14" s="78"/>
      <x:c r="C14" s="78"/>
      <x:c r="D14" s="78"/>
      <x:c r="E14" s="78"/>
      <x:c r="F14" s="78"/>
      <x:c r="G14" s="78"/>
      <x:c r="H14" s="78"/>
      <x:c r="I14" s="78"/>
    </x:row>
    <x:row r="15" ht="18" customHeight="1">
      <x:c r="A15" s="14" t="str">
        <x:v>Credit View</x:v>
      </x:c>
      <x:c r="B15" s="78"/>
      <x:c r="C15" s="78"/>
      <x:c r="D15" s="78"/>
      <x:c r="E15" s="78"/>
      <x:c r="F15" s="78"/>
      <x:c r="G15" s="78"/>
      <x:c r="H15" s="78"/>
      <x:c r="I15" s="78"/>
    </x:row>
    <x:row r="16" ht="18" customHeight="1">
      <x:c r="A16" s="84" t="str">
        <x:v>Strengths</x:v>
      </x:c>
      <x:c r="B16" s="78"/>
      <x:c r="C16" s="78"/>
      <x:c r="D16" s="78"/>
      <x:c r="E16" s="85" t="str">
        <x:v>Risks / Watch Items</x:v>
      </x:c>
      <x:c r="F16" s="78"/>
      <x:c r="G16" s="78"/>
      <x:c r="H16" s="78"/>
      <x:c r="I16" s="78"/>
    </x:row>
    <x:row r="17" ht="18" customHeight="1">
      <x:c r="A17" s="86" t="str">
        <x:v>• $12.6B latest-year FCF provides meaningful debt-service capacity.</x:v>
      </x:c>
      <x:c r="B17" s="86"/>
      <x:c r="C17" s="86"/>
      <x:c r="D17" s="86"/>
      <x:c r="E17" s="86" t="str">
        <x:v>• $4.7B of long-term debt matures in fiscal 2026.</x:v>
      </x:c>
      <x:c r="F17" s="86"/>
      <x:c r="G17" s="86"/>
      <x:c r="H17" s="86"/>
      <x:c r="I17" s="78"/>
    </x:row>
    <x:row r="18" ht="18" customHeight="1">
      <x:c r="A18" s="86" t="str">
        <x:v>• 8.7x EBIT / interest coverage before incremental financing.</x:v>
      </x:c>
      <x:c r="B18" s="86"/>
      <x:c r="C18" s="86"/>
      <x:c r="D18" s="86"/>
      <x:c r="E18" s="86" t="str">
        <x:v>• $4.5B of commercial paper is outstanding at year-end.</x:v>
      </x:c>
      <x:c r="F18" s="86"/>
      <x:c r="G18" s="86"/>
      <x:c r="H18" s="86"/>
      <x:c r="I18" s="78"/>
    </x:row>
    <x:row r="19" ht="18" customHeight="1">
      <x:c r="A19" s="86" t="str">
        <x:v>• $11.0B of back-up credit facilities were undrawn at year-end.</x:v>
      </x:c>
      <x:c r="B19" s="86"/>
      <x:c r="C19" s="86"/>
      <x:c r="D19" s="86"/>
      <x:c r="E19" s="86" t="str">
        <x:v>• Moderate downside pushes pro forma leverage to ~2.65x.</x:v>
      </x:c>
      <x:c r="F19" s="86"/>
      <x:c r="G19" s="86"/>
      <x:c r="H19" s="86"/>
      <x:c r="I19" s="78"/>
    </x:row>
    <x:row r="20" ht="18" customHeight="1">
      <x:c r="A20" s="86" t="str">
        <x:v>• Share repurchases remain paused while the company reduces debt.</x:v>
      </x:c>
      <x:c r="B20" s="86"/>
      <x:c r="C20" s="86"/>
      <x:c r="D20" s="86"/>
      <x:c r="E20" s="86" t="str">
        <x:v>• Severe downside pushes pro forma leverage above 3.0x.</x:v>
      </x:c>
      <x:c r="F20" s="86"/>
      <x:c r="G20" s="86"/>
      <x:c r="H20" s="86"/>
      <x:c r="I20" s="78"/>
    </x:row>
    <x:row r="21" ht="18" customHeight="1">
      <x:c r="A21" s="86" t="str">
        <x:v>• Strong access to debt capital markets and substantial scale.</x:v>
      </x:c>
      <x:c r="B21" s="86"/>
      <x:c r="C21" s="86"/>
      <x:c r="D21" s="86"/>
      <x:c r="E21" s="86" t="str">
        <x:v>• Acquisitions increased balance-sheet leverage and refinancing needs.</x:v>
      </x:c>
      <x:c r="F21" s="86"/>
      <x:c r="G21" s="86"/>
      <x:c r="H21" s="86"/>
      <x:c r="I21" s="78"/>
    </x:row>
    <x:row r="22" ht="18" customHeight="1">
      <x:c r="A22" s="78"/>
      <x:c r="B22" s="78"/>
      <x:c r="C22" s="78"/>
      <x:c r="D22" s="78"/>
      <x:c r="E22" s="78"/>
      <x:c r="F22" s="78"/>
      <x:c r="G22" s="78"/>
      <x:c r="H22" s="78"/>
      <x:c r="I22" s="78"/>
    </x:row>
    <x:row r="23" ht="18" customHeight="1">
      <x:c r="A23" s="14" t="str">
        <x:v>Illustrative Lending Conditions</x:v>
      </x:c>
      <x:c r="B23" s="78"/>
      <x:c r="C23" s="78"/>
      <x:c r="D23" s="78"/>
      <x:c r="E23" s="78"/>
      <x:c r="F23" s="78"/>
      <x:c r="G23" s="78"/>
      <x:c r="H23" s="78"/>
      <x:c r="I23" s="78"/>
    </x:row>
    <x:row r="24" ht="18" customHeight="1">
      <x:c r="A24" s="87" t="n">
        <x:v>1</x:v>
      </x:c>
      <x:c r="B24" s="86" t="str">
        <x:v>Maintain funded Debt / EBITDA at or below 2.75x on the underwritten base / moderate case.</x:v>
      </x:c>
      <x:c r="C24" s="86"/>
      <x:c r="D24" s="86"/>
      <x:c r="E24" s="86"/>
      <x:c r="F24" s="86"/>
      <x:c r="G24" s="86"/>
      <x:c r="H24" s="86"/>
      <x:c r="I24" s="78"/>
    </x:row>
    <x:row r="25" ht="18" customHeight="1">
      <x:c r="A25" s="87" t="n">
        <x:v>2</x:v>
      </x:c>
      <x:c r="B25" s="86" t="str">
        <x:v>Maintain EBIT / interest coverage above 5.0x.</x:v>
      </x:c>
      <x:c r="C25" s="86"/>
      <x:c r="D25" s="86"/>
      <x:c r="E25" s="86"/>
      <x:c r="F25" s="86"/>
      <x:c r="G25" s="86"/>
      <x:c r="H25" s="86"/>
      <x:c r="I25" s="78"/>
    </x:row>
    <x:row r="26" ht="18" customHeight="1">
      <x:c r="A26" s="87" t="n">
        <x:v>3</x:v>
      </x:c>
      <x:c r="B26" s="86" t="str">
        <x:v>Maintain at least $8.0B of committed liquidity (cash + undrawn committed facilities).</x:v>
      </x:c>
      <x:c r="C26" s="86"/>
      <x:c r="D26" s="86"/>
      <x:c r="E26" s="86"/>
      <x:c r="F26" s="86"/>
      <x:c r="G26" s="86"/>
      <x:c r="H26" s="86"/>
      <x:c r="I26" s="78"/>
    </x:row>
    <x:row r="27" ht="18" customHeight="1">
      <x:c r="A27" s="87" t="n">
        <x:v>4</x:v>
      </x:c>
      <x:c r="B27" s="86" t="str">
        <x:v>No incremental debt-funded share repurchases while leverage remains elevated.</x:v>
      </x:c>
      <x:c r="C27" s="86"/>
      <x:c r="D27" s="86"/>
      <x:c r="E27" s="86"/>
      <x:c r="F27" s="86"/>
      <x:c r="G27" s="86"/>
      <x:c r="H27" s="86"/>
      <x:c r="I27" s="78"/>
    </x:row>
    <x:row r="28" ht="18" customHeight="1">
      <x:c r="A28" s="87" t="n">
        <x:v>5</x:v>
      </x:c>
      <x:c r="B28" s="86" t="str">
        <x:v>Monitor fiscal 2026-2029 maturities and commercial paper refinancing exposure.</x:v>
      </x:c>
      <x:c r="C28" s="86"/>
      <x:c r="D28" s="86"/>
      <x:c r="E28" s="86"/>
      <x:c r="F28" s="86"/>
      <x:c r="G28" s="86"/>
      <x:c r="H28" s="86"/>
      <x:c r="I28" s="78"/>
    </x:row>
    <x:row r="29" ht="18" customHeight="1">
      <x:c r="A29" s="78"/>
      <x:c r="B29" s="78"/>
      <x:c r="C29" s="78"/>
      <x:c r="D29" s="78"/>
      <x:c r="E29" s="78"/>
      <x:c r="F29" s="78"/>
      <x:c r="G29" s="78"/>
      <x:c r="H29" s="78"/>
      <x:c r="I29" s="78"/>
    </x:row>
    <x:row r="30" ht="18" customHeight="1">
      <x:c r="A30" s="78"/>
      <x:c r="B30" s="78"/>
      <x:c r="C30" s="78"/>
      <x:c r="D30" s="78"/>
      <x:c r="E30" s="78"/>
      <x:c r="F30" s="78"/>
      <x:c r="G30" s="78"/>
      <x:c r="H30" s="78"/>
      <x:c r="I30" s="78"/>
    </x:row>
    <x:row r="31" ht="18" customHeight="1">
      <x:c r="A31" s="78"/>
      <x:c r="B31" s="78"/>
      <x:c r="C31" s="78"/>
      <x:c r="D31" s="78"/>
      <x:c r="E31" s="78"/>
      <x:c r="F31" s="78"/>
      <x:c r="G31" s="78"/>
      <x:c r="H31" s="78"/>
      <x:c r="I31" s="78"/>
    </x:row>
    <x:row r="32" ht="18" customHeight="1">
      <x:c r="A32" s="78"/>
      <x:c r="B32" s="78"/>
      <x:c r="C32" s="78"/>
      <x:c r="D32" s="78"/>
      <x:c r="E32" s="78"/>
      <x:c r="F32" s="78"/>
      <x:c r="G32" s="78"/>
      <x:c r="H32" s="78"/>
      <x:c r="I32" s="78"/>
    </x:row>
    <x:row r="33" ht="18" customHeight="1">
      <x:c r="A33" s="78"/>
      <x:c r="B33" s="78"/>
      <x:c r="C33" s="78"/>
      <x:c r="D33" s="78"/>
      <x:c r="E33" s="78"/>
      <x:c r="F33" s="78"/>
      <x:c r="G33" s="78"/>
      <x:c r="H33" s="78"/>
      <x:c r="I33" s="78"/>
    </x:row>
    <x:row r="34" ht="18" customHeight="1">
      <x:c r="A34" s="78"/>
      <x:c r="B34" s="78"/>
      <x:c r="C34" s="78"/>
      <x:c r="D34" s="78"/>
      <x:c r="E34" s="78"/>
      <x:c r="F34" s="78"/>
      <x:c r="G34" s="78"/>
      <x:c r="H34" s="78"/>
      <x:c r="I34" s="78"/>
    </x:row>
    <x:row r="35" ht="18" customHeight="1">
      <x:c r="A35" s="78"/>
      <x:c r="B35" s="78"/>
      <x:c r="C35" s="78"/>
      <x:c r="D35" s="78"/>
      <x:c r="E35" s="78"/>
      <x:c r="F35" s="78"/>
      <x:c r="G35" s="78"/>
      <x:c r="H35" s="78"/>
      <x:c r="I35" s="78"/>
    </x:row>
    <x:row r="36" ht="18" customHeight="1">
      <x:c r="A36" s="78"/>
      <x:c r="B36" s="78"/>
      <x:c r="C36" s="78"/>
      <x:c r="D36" s="78"/>
      <x:c r="E36" s="78"/>
      <x:c r="F36" s="78"/>
      <x:c r="G36" s="78"/>
      <x:c r="H36" s="78"/>
      <x:c r="I36" s="78"/>
    </x:row>
    <x:row r="37" ht="18" customHeight="1">
      <x:c r="A37" s="78"/>
      <x:c r="B37" s="78"/>
      <x:c r="C37" s="78"/>
      <x:c r="D37" s="78"/>
      <x:c r="E37" s="78"/>
      <x:c r="F37" s="78"/>
      <x:c r="G37" s="78"/>
      <x:c r="H37" s="78"/>
      <x:c r="I37" s="78"/>
    </x:row>
    <x:row r="38" ht="18" customHeight="1">
      <x:c r="A38" s="78"/>
      <x:c r="B38" s="78"/>
      <x:c r="C38" s="78"/>
      <x:c r="D38" s="78"/>
      <x:c r="E38" s="78"/>
      <x:c r="F38" s="78"/>
      <x:c r="G38" s="78"/>
      <x:c r="H38" s="78"/>
      <x:c r="I38" s="78"/>
    </x:row>
    <x:row r="39" ht="18" customHeight="1">
      <x:c r="A39" s="78"/>
      <x:c r="B39" s="78"/>
      <x:c r="C39" s="78"/>
      <x:c r="D39" s="78"/>
      <x:c r="E39" s="78"/>
      <x:c r="F39" s="78"/>
      <x:c r="G39" s="78"/>
      <x:c r="H39" s="78"/>
      <x:c r="I39" s="78"/>
    </x:row>
    <x:row r="40" ht="18" customHeight="1">
      <x:c r="A40" s="78"/>
      <x:c r="B40" s="78"/>
      <x:c r="C40" s="78"/>
      <x:c r="D40" s="78"/>
      <x:c r="E40" s="78"/>
      <x:c r="F40" s="78"/>
      <x:c r="G40" s="78"/>
      <x:c r="H40" s="78"/>
      <x:c r="I40" s="78"/>
    </x:row>
  </x:sheetData>
  <x:mergeCells>
    <x:mergeCell ref="A1:H2"/>
    <x:mergeCell ref="A3:H3"/>
    <x:mergeCell ref="A5:D5"/>
    <x:mergeCell ref="F5:H5"/>
    <x:mergeCell ref="A15:H15"/>
    <x:mergeCell ref="A16:D16"/>
    <x:mergeCell ref="E16:H16"/>
    <x:mergeCell ref="A17:D17"/>
    <x:mergeCell ref="E17:H17"/>
    <x:mergeCell ref="A18:D18"/>
    <x:mergeCell ref="E18:H18"/>
    <x:mergeCell ref="A19:D19"/>
    <x:mergeCell ref="E19:H19"/>
    <x:mergeCell ref="A20:D20"/>
    <x:mergeCell ref="E20:H20"/>
    <x:mergeCell ref="A21:D21"/>
    <x:mergeCell ref="E21:H21"/>
    <x:mergeCell ref="A23:H23"/>
    <x:mergeCell ref="B24:H24"/>
    <x:mergeCell ref="B25:H25"/>
    <x:mergeCell ref="B26:H26"/>
    <x:mergeCell ref="B27:H27"/>
    <x:mergeCell ref="B28:H28"/>
    <x:mergeCell ref="B6:D6"/>
    <x:mergeCell ref="B7:D7"/>
    <x:mergeCell ref="B8:D8"/>
    <x:mergeCell ref="B9:D9"/>
    <x:mergeCell ref="B10:D10"/>
    <x:mergeCell ref="B11:D11"/>
    <x:mergeCell ref="B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4" max="4" width="13" hidden="0" customWidth="1"/>
    <x:col min="5" max="5" width="10" hidden="0" customWidth="1"/>
    <x:col min="6" max="6" width="32" hidden="0" customWidth="1"/>
  </x:cols>
  <x:sheetData>
    <x:row r="1" ht="18" customHeight="1">
      <x:c r="A1" s="5" t="str">
        <x:v>Historical Financials - Home Depot</x:v>
      </x:c>
      <x:c r="B1" s="78"/>
      <x:c r="C1" s="78"/>
      <x:c r="D1" s="78"/>
      <x:c r="E1" s="78"/>
      <x:c r="F1" s="78"/>
      <x:c r="G1" s="78"/>
      <x:c r="H1" s="78"/>
      <x:c r="I1" s="78"/>
    </x:row>
    <x:row r="2" ht="18" customHeight="1">
      <x:c r="A2" s="78"/>
      <x:c r="B2" s="78"/>
      <x:c r="C2" s="78"/>
      <x:c r="D2" s="78"/>
      <x:c r="E2" s="78"/>
      <x:c r="F2" s="78"/>
      <x:c r="G2" s="78"/>
      <x:c r="H2" s="78"/>
      <x:c r="I2" s="78"/>
    </x:row>
    <x:row r="3" ht="18" customHeight="1">
      <x:c r="A3" s="78"/>
      <x:c r="B3" s="78"/>
      <x:c r="C3" s="78"/>
      <x:c r="D3" s="78"/>
      <x:c r="E3" s="78"/>
      <x:c r="F3" s="78"/>
      <x:c r="G3" s="78"/>
      <x:c r="H3" s="78"/>
      <x:c r="I3" s="78"/>
    </x:row>
    <x:row r="4" ht="18" customHeight="1">
      <x:c r="A4" s="34" t="str">
        <x:v>Metric</x:v>
      </x:c>
      <x:c r="B4" s="34" t="str">
        <x:v>FY2023</x:v>
      </x:c>
      <x:c r="C4" s="34" t="str">
        <x:v>FY2024</x:v>
      </x:c>
      <x:c r="D4" s="34" t="str">
        <x:v>FY2025</x:v>
      </x:c>
      <x:c r="E4" s="34" t="str">
        <x:v>Units</x:v>
      </x:c>
      <x:c r="F4" s="34" t="str">
        <x:v>Source</x:v>
      </x:c>
      <x:c r="G4" s="78"/>
      <x:c r="H4" s="78"/>
      <x:c r="I4" s="78"/>
    </x:row>
    <x:row r="5" ht="18" customHeight="1">
      <x:c r="A5" s="78" t="str">
        <x:v>Net Sales</x:v>
      </x:c>
      <x:c r="B5" s="98" t="n">
        <x:v>152.669</x:v>
      </x:c>
      <x:c r="C5" s="98" t="n">
        <x:v>159.514</x:v>
      </x:c>
      <x:c r="D5" s="98" t="n">
        <x:v>164.683</x:v>
      </x:c>
      <x:c r="E5" s="78" t="str">
        <x:v>$B</x:v>
      </x:c>
      <x:c r="F5" s="78" t="str">
        <x:v>SEC FY2025 10-K</x:v>
      </x:c>
      <x:c r="G5" s="78"/>
      <x:c r="H5" s="78"/>
      <x:c r="I5" s="78"/>
    </x:row>
    <x:row r="6" ht="18" customHeight="1">
      <x:c r="A6" s="78" t="str">
        <x:v>Operating Income</x:v>
      </x:c>
      <x:c r="B6" s="98" t="n">
        <x:v>21.689</x:v>
      </x:c>
      <x:c r="C6" s="98" t="n">
        <x:v>21.526</x:v>
      </x:c>
      <x:c r="D6" s="98" t="n">
        <x:v>20.89</x:v>
      </x:c>
      <x:c r="E6" s="78" t="str">
        <x:v>$B</x:v>
      </x:c>
      <x:c r="F6" s="78" t="str">
        <x:v>SEC FY2025 10-K</x:v>
      </x:c>
      <x:c r="G6" s="78"/>
      <x:c r="H6" s="78"/>
      <x:c r="I6" s="78"/>
    </x:row>
    <x:row r="7" ht="18" customHeight="1">
      <x:c r="A7" s="78" t="str">
        <x:v>Depreciation &amp; Amortization</x:v>
      </x:c>
      <x:c r="B7" s="98" t="n">
        <x:v>3.247</x:v>
      </x:c>
      <x:c r="C7" s="98" t="n">
        <x:v>3.761</x:v>
      </x:c>
      <x:c r="D7" s="98" t="n">
        <x:v>4.121</x:v>
      </x:c>
      <x:c r="E7" s="78" t="str">
        <x:v>$B</x:v>
      </x:c>
      <x:c r="F7" s="78" t="str">
        <x:v>SEC FY2025 10-K cash flow</x:v>
      </x:c>
      <x:c r="G7" s="78"/>
      <x:c r="H7" s="78"/>
      <x:c r="I7" s="78"/>
    </x:row>
    <x:row r="8" ht="18" customHeight="1">
      <x:c r="A8" s="78" t="str">
        <x:v>EBITDA</x:v>
      </x:c>
      <x:c r="B8" s="99" t="n">
        <x:f>B6+B7</x:f>
        <x:v>24.936</x:v>
      </x:c>
      <x:c r="C8" s="99" t="n">
        <x:f>C6+C7</x:f>
        <x:v>25.287</x:v>
      </x:c>
      <x:c r="D8" s="99" t="n">
        <x:f>D6+D7</x:f>
        <x:v>25.011000000000003</x:v>
      </x:c>
      <x:c r="E8" s="78" t="str">
        <x:v>$B</x:v>
      </x:c>
      <x:c r="F8" s="78" t="str">
        <x:v>Calculated</x:v>
      </x:c>
      <x:c r="G8" s="78"/>
      <x:c r="H8" s="78"/>
      <x:c r="I8" s="78"/>
    </x:row>
    <x:row r="9" ht="18" customHeight="1">
      <x:c r="A9" s="78" t="str">
        <x:v>Interest Expense</x:v>
      </x:c>
      <x:c r="B9" s="98" t="n">
        <x:v>1.943</x:v>
      </x:c>
      <x:c r="C9" s="98" t="n">
        <x:v>2.321</x:v>
      </x:c>
      <x:c r="D9" s="98" t="n">
        <x:v>2.412</x:v>
      </x:c>
      <x:c r="E9" s="78" t="str">
        <x:v>$B</x:v>
      </x:c>
      <x:c r="F9" s="78" t="str">
        <x:v>SEC FY2025 10-K</x:v>
      </x:c>
      <x:c r="G9" s="78"/>
      <x:c r="H9" s="78"/>
      <x:c r="I9" s="78"/>
    </x:row>
    <x:row r="10" ht="18" customHeight="1">
      <x:c r="A10" s="78" t="str">
        <x:v>Operating Cash Flow</x:v>
      </x:c>
      <x:c r="B10" s="98" t="n">
        <x:v>21.172</x:v>
      </x:c>
      <x:c r="C10" s="98" t="n">
        <x:v>19.81</x:v>
      </x:c>
      <x:c r="D10" s="98" t="n">
        <x:v>16.325</x:v>
      </x:c>
      <x:c r="E10" s="78" t="str">
        <x:v>$B</x:v>
      </x:c>
      <x:c r="F10" s="78" t="str">
        <x:v>SEC FY2025 10-K</x:v>
      </x:c>
      <x:c r="G10" s="78"/>
      <x:c r="H10" s="78"/>
      <x:c r="I10" s="78"/>
    </x:row>
    <x:row r="11" ht="18" customHeight="1">
      <x:c r="A11" s="78" t="str">
        <x:v>Capital Expenditures</x:v>
      </x:c>
      <x:c r="B11" s="98" t="n">
        <x:v>3.226</x:v>
      </x:c>
      <x:c r="C11" s="98" t="n">
        <x:v>3.485</x:v>
      </x:c>
      <x:c r="D11" s="98" t="n">
        <x:v>3.679</x:v>
      </x:c>
      <x:c r="E11" s="78" t="str">
        <x:v>$B</x:v>
      </x:c>
      <x:c r="F11" s="78" t="str">
        <x:v>SEC FY2025 10-K</x:v>
      </x:c>
      <x:c r="G11" s="78"/>
      <x:c r="H11" s="78"/>
      <x:c r="I11" s="78"/>
    </x:row>
    <x:row r="12" ht="18" customHeight="1">
      <x:c r="A12" s="78" t="str">
        <x:v>Free Cash Flow</x:v>
      </x:c>
      <x:c r="B12" s="99" t="n">
        <x:f>B10-B11</x:f>
        <x:v>17.946</x:v>
      </x:c>
      <x:c r="C12" s="99" t="n">
        <x:f>C10-C11</x:f>
        <x:v>16.325</x:v>
      </x:c>
      <x:c r="D12" s="99" t="n">
        <x:f>D10-D11</x:f>
        <x:v>12.645999999999999</x:v>
      </x:c>
      <x:c r="E12" s="78" t="str">
        <x:v>$B</x:v>
      </x:c>
      <x:c r="F12" s="78" t="str">
        <x:v>Calculated</x:v>
      </x:c>
      <x:c r="G12" s="78"/>
      <x:c r="H12" s="78"/>
      <x:c r="I12" s="78"/>
    </x:row>
    <x:row r="13" ht="18" customHeight="1">
      <x:c r="A13" s="78" t="str">
        <x:v>Cash &amp; Equivalents</x:v>
      </x:c>
      <x:c r="B13" s="98" t="n">
        <x:v>3.76</x:v>
      </x:c>
      <x:c r="C13" s="98" t="n">
        <x:v>1.659</x:v>
      </x:c>
      <x:c r="D13" s="98" t="n">
        <x:v>1.389</x:v>
      </x:c>
      <x:c r="E13" s="78" t="str">
        <x:v>$B</x:v>
      </x:c>
      <x:c r="F13" s="78" t="str">
        <x:v>SEC FY2025 10-K</x:v>
      </x:c>
      <x:c r="G13" s="78"/>
      <x:c r="H13" s="78"/>
      <x:c r="I13" s="78"/>
    </x:row>
    <x:row r="14" ht="18" customHeight="1">
      <x:c r="A14" s="78" t="str">
        <x:v>Short-Term Debt / CP</x:v>
      </x:c>
      <x:c r="B14" s="98" t="n">
        <x:v>0</x:v>
      </x:c>
      <x:c r="C14" s="98" t="n">
        <x:v>0.316</x:v>
      </x:c>
      <x:c r="D14" s="98" t="n">
        <x:v>4.464</x:v>
      </x:c>
      <x:c r="E14" s="78" t="str">
        <x:v>$B</x:v>
      </x:c>
      <x:c r="F14" s="78" t="str">
        <x:v>SEC FY2025 10-K</x:v>
      </x:c>
      <x:c r="G14" s="78"/>
      <x:c r="H14" s="78"/>
      <x:c r="I14" s="78"/>
    </x:row>
    <x:row r="15" ht="18" customHeight="1">
      <x:c r="A15" s="78" t="str">
        <x:v>Long-Term Debt incl. Current Portion</x:v>
      </x:c>
      <x:c r="B15" s="98"/>
      <x:c r="C15" s="98" t="n">
        <x:v>53.067</x:v>
      </x:c>
      <x:c r="D15" s="98" t="n">
        <x:v>51.308</x:v>
      </x:c>
      <x:c r="E15" s="78" t="str">
        <x:v>$B</x:v>
      </x:c>
      <x:c r="F15" s="78" t="str">
        <x:v>SEC FY2025 10-K</x:v>
      </x:c>
      <x:c r="G15" s="78"/>
      <x:c r="H15" s="78"/>
      <x:c r="I15" s="78"/>
    </x:row>
    <x:row r="16" ht="18" customHeight="1">
      <x:c r="A16" s="78" t="str">
        <x:v>Total Funded Debt</x:v>
      </x:c>
      <x:c r="B16" s="98"/>
      <x:c r="C16" s="99" t="n">
        <x:f>C14+C15</x:f>
        <x:v>53.383</x:v>
      </x:c>
      <x:c r="D16" s="99" t="n">
        <x:f>D14+D15</x:f>
        <x:v>55.772</x:v>
      </x:c>
      <x:c r="E16" s="78" t="str">
        <x:v>$B</x:v>
      </x:c>
      <x:c r="F16" s="78" t="str">
        <x:v>Calculated</x:v>
      </x:c>
      <x:c r="G16" s="78"/>
      <x:c r="H16" s="78"/>
      <x:c r="I16" s="78"/>
    </x:row>
    <x:row r="17" ht="18" customHeight="1">
      <x:c r="A17" s="78" t="str">
        <x:v>Debt / EBITDA</x:v>
      </x:c>
      <x:c r="B17" s="100"/>
      <x:c r="C17" s="101" t="n">
        <x:f>C16/C8</x:f>
        <x:v>2.1110847471032548</x:v>
      </x:c>
      <x:c r="D17" s="101" t="n">
        <x:f>D16/D8</x:f>
        <x:v>2.229898844508416</x:v>
      </x:c>
      <x:c r="E17" s="78" t="str">
        <x:v>x</x:v>
      </x:c>
      <x:c r="F17" s="78" t="str">
        <x:v>Calculated</x:v>
      </x:c>
      <x:c r="G17" s="78"/>
      <x:c r="H17" s="78"/>
      <x:c r="I17" s="78"/>
    </x:row>
    <x:row r="18" ht="18" customHeight="1">
      <x:c r="A18" s="78" t="str">
        <x:v>Interest Coverage</x:v>
      </x:c>
      <x:c r="B18" s="101" t="n">
        <x:f>B6/B9</x:f>
        <x:v>11.162635100360268</x:v>
      </x:c>
      <x:c r="C18" s="101" t="n">
        <x:f>C6/C9</x:f>
        <x:v>9.274450667815596</x:v>
      </x:c>
      <x:c r="D18" s="101" t="n">
        <x:f>D6/D9</x:f>
        <x:v>8.660862354892206</x:v>
      </x:c>
      <x:c r="E18" s="78" t="str">
        <x:v>x</x:v>
      </x:c>
      <x:c r="F18" s="78" t="str">
        <x:v>Calculated</x:v>
      </x:c>
      <x:c r="G18" s="78"/>
      <x:c r="H18" s="78"/>
      <x:c r="I18" s="78"/>
    </x:row>
    <x:row r="19" ht="18" customHeight="1">
      <x:c r="A19" s="78"/>
      <x:c r="B19" s="78"/>
      <x:c r="C19" s="78"/>
      <x:c r="D19" s="78"/>
      <x:c r="E19" s="78"/>
      <x:c r="F19" s="78"/>
      <x:c r="G19" s="78"/>
      <x:c r="H19" s="78"/>
      <x:c r="I19" s="78"/>
    </x:row>
    <x:row r="20" ht="18" customHeight="1">
      <x:c r="A20" s="78"/>
      <x:c r="B20" s="78"/>
      <x:c r="C20" s="78"/>
      <x:c r="D20" s="78"/>
      <x:c r="E20" s="78"/>
      <x:c r="F20" s="78"/>
      <x:c r="G20" s="78"/>
      <x:c r="H20" s="78"/>
      <x:c r="I20" s="78"/>
    </x:row>
    <x:row r="21" ht="18" customHeight="1">
      <x:c r="A21" s="78"/>
      <x:c r="B21" s="78"/>
      <x:c r="C21" s="78"/>
      <x:c r="D21" s="78"/>
      <x:c r="E21" s="78"/>
      <x:c r="F21" s="78"/>
      <x:c r="G21" s="78"/>
      <x:c r="H21" s="78"/>
      <x:c r="I21" s="78"/>
    </x:row>
    <x:row r="22" ht="18" customHeight="1">
      <x:c r="A22" s="78"/>
      <x:c r="B22" s="78"/>
      <x:c r="C22" s="78"/>
      <x:c r="D22" s="78"/>
      <x:c r="E22" s="78"/>
      <x:c r="F22" s="78"/>
      <x:c r="G22" s="78"/>
      <x:c r="H22" s="78"/>
      <x:c r="I22" s="78"/>
    </x:row>
    <x:row r="23" ht="18" customHeight="1">
      <x:c r="A23" s="78"/>
      <x:c r="B23" s="78"/>
      <x:c r="C23" s="78"/>
      <x:c r="D23" s="78"/>
      <x:c r="E23" s="78"/>
      <x:c r="F23" s="78"/>
      <x:c r="G23" s="78"/>
      <x:c r="H23" s="78"/>
      <x:c r="I23" s="78"/>
    </x:row>
    <x:row r="24" ht="18" customHeight="1">
      <x:c r="A24" s="78"/>
      <x:c r="B24" s="78"/>
      <x:c r="C24" s="78"/>
      <x:c r="D24" s="78"/>
      <x:c r="E24" s="78"/>
      <x:c r="F24" s="78"/>
      <x:c r="G24" s="78"/>
      <x:c r="H24" s="78"/>
      <x:c r="I24" s="78"/>
    </x:row>
    <x:row r="25" ht="18" customHeight="1">
      <x:c r="A25" s="78"/>
      <x:c r="B25" s="78"/>
      <x:c r="C25" s="78"/>
      <x:c r="D25" s="78"/>
      <x:c r="E25" s="78"/>
      <x:c r="F25" s="78"/>
      <x:c r="G25" s="78"/>
      <x:c r="H25" s="78"/>
      <x:c r="I25" s="78"/>
    </x:row>
    <x:row r="26" ht="18" customHeight="1">
      <x:c r="A26" s="78"/>
      <x:c r="B26" s="78"/>
      <x:c r="C26" s="78"/>
      <x:c r="D26" s="78"/>
      <x:c r="E26" s="78"/>
      <x:c r="F26" s="78"/>
      <x:c r="G26" s="78"/>
      <x:c r="H26" s="78"/>
      <x:c r="I26" s="78"/>
    </x:row>
    <x:row r="27" ht="18" customHeight="1">
      <x:c r="A27" s="78"/>
      <x:c r="B27" s="78"/>
      <x:c r="C27" s="78"/>
      <x:c r="D27" s="78"/>
      <x:c r="E27" s="78"/>
      <x:c r="F27" s="78"/>
      <x:c r="G27" s="78"/>
      <x:c r="H27" s="78"/>
      <x:c r="I27" s="78"/>
    </x:row>
    <x:row r="28" ht="18" customHeight="1">
      <x:c r="A28" s="78"/>
      <x:c r="B28" s="78"/>
      <x:c r="C28" s="78"/>
      <x:c r="D28" s="78"/>
      <x:c r="E28" s="78"/>
      <x:c r="F28" s="78"/>
      <x:c r="G28" s="78"/>
      <x:c r="H28" s="78"/>
      <x:c r="I28" s="78"/>
    </x:row>
    <x:row r="29" ht="18" customHeight="1">
      <x:c r="A29" s="78"/>
      <x:c r="B29" s="78"/>
      <x:c r="C29" s="78"/>
      <x:c r="D29" s="78"/>
      <x:c r="E29" s="78"/>
      <x:c r="F29" s="78"/>
      <x:c r="G29" s="78"/>
      <x:c r="H29" s="78"/>
      <x:c r="I29" s="78"/>
    </x:row>
    <x:row r="30" ht="18" customHeight="1">
      <x:c r="A30" s="78"/>
      <x:c r="B30" s="78"/>
      <x:c r="C30" s="78"/>
      <x:c r="D30" s="78"/>
      <x:c r="E30" s="78"/>
      <x:c r="F30" s="78"/>
      <x:c r="G30" s="78"/>
      <x:c r="H30" s="78"/>
      <x:c r="I30" s="78"/>
    </x:row>
    <x:row r="31" ht="18" customHeight="1">
      <x:c r="A31" s="78"/>
      <x:c r="B31" s="78"/>
      <x:c r="C31" s="78"/>
      <x:c r="D31" s="78"/>
      <x:c r="E31" s="78"/>
      <x:c r="F31" s="78"/>
      <x:c r="G31" s="78"/>
      <x:c r="H31" s="78"/>
      <x:c r="I31" s="78"/>
    </x:row>
    <x:row r="32" ht="18" customHeight="1">
      <x:c r="A32" s="78"/>
      <x:c r="B32" s="78"/>
      <x:c r="C32" s="78"/>
      <x:c r="D32" s="78"/>
      <x:c r="E32" s="78"/>
      <x:c r="F32" s="78"/>
      <x:c r="G32" s="78"/>
      <x:c r="H32" s="78"/>
      <x:c r="I32" s="78"/>
    </x:row>
    <x:row r="33" ht="18" customHeight="1">
      <x:c r="A33" s="78"/>
      <x:c r="B33" s="78"/>
      <x:c r="C33" s="78"/>
      <x:c r="D33" s="78"/>
      <x:c r="E33" s="78"/>
      <x:c r="F33" s="78"/>
      <x:c r="G33" s="78"/>
      <x:c r="H33" s="78"/>
      <x:c r="I33" s="78"/>
    </x:row>
    <x:row r="34" ht="18" customHeight="1">
      <x:c r="A34" s="78"/>
      <x:c r="B34" s="78"/>
      <x:c r="C34" s="78"/>
      <x:c r="D34" s="78"/>
      <x:c r="E34" s="78"/>
      <x:c r="F34" s="78"/>
      <x:c r="G34" s="78"/>
      <x:c r="H34" s="78"/>
      <x:c r="I34" s="78"/>
    </x:row>
    <x:row r="35" ht="18" customHeight="1">
      <x:c r="A35" s="78"/>
      <x:c r="B35" s="78"/>
      <x:c r="C35" s="78"/>
      <x:c r="D35" s="78"/>
      <x:c r="E35" s="78"/>
      <x:c r="F35" s="78"/>
      <x:c r="G35" s="78"/>
      <x:c r="H35" s="78"/>
      <x:c r="I35" s="78"/>
    </x:row>
    <x:row r="36" ht="18" customHeight="1">
      <x:c r="A36" s="78"/>
      <x:c r="B36" s="78"/>
      <x:c r="C36" s="78"/>
      <x:c r="D36" s="78"/>
      <x:c r="E36" s="78"/>
      <x:c r="F36" s="78"/>
      <x:c r="G36" s="78"/>
      <x:c r="H36" s="78"/>
      <x:c r="I36" s="78"/>
    </x:row>
    <x:row r="37" ht="18" customHeight="1">
      <x:c r="A37" s="78"/>
      <x:c r="B37" s="78"/>
      <x:c r="C37" s="78"/>
      <x:c r="D37" s="78"/>
      <x:c r="E37" s="78"/>
      <x:c r="F37" s="78"/>
      <x:c r="G37" s="78"/>
      <x:c r="H37" s="78"/>
      <x:c r="I37" s="78"/>
    </x:row>
    <x:row r="38" ht="18" customHeight="1">
      <x:c r="A38" s="78"/>
      <x:c r="B38" s="78"/>
      <x:c r="C38" s="78"/>
      <x:c r="D38" s="78"/>
      <x:c r="E38" s="78"/>
      <x:c r="F38" s="78"/>
      <x:c r="G38" s="78"/>
      <x:c r="H38" s="78"/>
      <x:c r="I38" s="78"/>
    </x:row>
    <x:row r="39" ht="18" customHeight="1">
      <x:c r="A39" s="78"/>
      <x:c r="B39" s="78"/>
      <x:c r="C39" s="78"/>
      <x:c r="D39" s="78"/>
      <x:c r="E39" s="78"/>
      <x:c r="F39" s="78"/>
      <x:c r="G39" s="78"/>
      <x:c r="H39" s="78"/>
      <x:c r="I39" s="78"/>
    </x:row>
    <x:row r="40" ht="18" customHeight="1">
      <x:c r="A40" s="78"/>
      <x:c r="B40" s="78"/>
      <x:c r="C40" s="78"/>
      <x:c r="D40" s="78"/>
      <x:c r="E40" s="78"/>
      <x:c r="F40" s="78"/>
      <x:c r="G40" s="78"/>
      <x:c r="H40" s="78"/>
      <x:c r="I40" s="78"/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5" hidden="0" customWidth="1"/>
    <x:col min="4" max="4" width="36" hidden="0" customWidth="1"/>
    <x:col min="5" max="5" width="16" hidden="0" customWidth="1"/>
    <x:col min="6" max="6" width="10" hidden="0" customWidth="1"/>
  </x:cols>
  <x:sheetData>
    <x:row r="1" ht="18" customHeight="1">
      <x:c r="A1" s="5" t="str">
        <x:v>Capital Structure &amp; Liquidity</x:v>
      </x:c>
      <x:c r="B1" s="78"/>
      <x:c r="C1" s="78"/>
      <x:c r="D1" s="78"/>
      <x:c r="E1" s="78"/>
      <x:c r="F1" s="78"/>
      <x:c r="G1" s="78"/>
      <x:c r="H1" s="78"/>
      <x:c r="I1" s="78"/>
    </x:row>
    <x:row r="2" ht="18" customHeight="1">
      <x:c r="A2" s="78"/>
      <x:c r="B2" s="78"/>
      <x:c r="C2" s="78"/>
      <x:c r="D2" s="78"/>
      <x:c r="E2" s="78"/>
      <x:c r="F2" s="78"/>
      <x:c r="G2" s="78"/>
      <x:c r="H2" s="78"/>
      <x:c r="I2" s="78"/>
    </x:row>
    <x:row r="3" ht="18" customHeight="1">
      <x:c r="A3" s="78"/>
      <x:c r="B3" s="78"/>
      <x:c r="C3" s="78"/>
      <x:c r="D3" s="78"/>
      <x:c r="E3" s="78"/>
      <x:c r="F3" s="78"/>
      <x:c r="G3" s="78"/>
      <x:c r="H3" s="78"/>
      <x:c r="I3" s="78"/>
    </x:row>
    <x:row r="4" ht="18" customHeight="1">
      <x:c r="A4" s="14" t="str">
        <x:v>Funded Debt</x:v>
      </x:c>
      <x:c r="B4" s="78"/>
      <x:c r="C4" s="78"/>
      <x:c r="D4" s="14" t="str">
        <x:v>Liquidity</x:v>
      </x:c>
      <x:c r="E4" s="78"/>
      <x:c r="F4" s="78"/>
      <x:c r="G4" s="78"/>
      <x:c r="H4" s="78"/>
      <x:c r="I4" s="78"/>
    </x:row>
    <x:row r="5" ht="18" customHeight="1">
      <x:c r="A5" s="34" t="str">
        <x:v>Component</x:v>
      </x:c>
      <x:c r="B5" s="34" t="str">
        <x:v>FY2025</x:v>
      </x:c>
      <x:c r="C5" s="78"/>
      <x:c r="D5" s="34" t="str">
        <x:v>Source</x:v>
      </x:c>
      <x:c r="E5" s="34" t="str">
        <x:v>FY2025</x:v>
      </x:c>
      <x:c r="F5" s="78"/>
      <x:c r="G5" s="78"/>
      <x:c r="H5" s="78"/>
      <x:c r="I5" s="78"/>
    </x:row>
    <x:row r="6" ht="18" customHeight="1">
      <x:c r="A6" s="78" t="str">
        <x:v>Commercial Paper</x:v>
      </x:c>
      <x:c r="B6" s="98" t="n">
        <x:v>4.464</x:v>
      </x:c>
      <x:c r="C6" s="78"/>
      <x:c r="D6" s="78" t="str">
        <x:v>Cash &amp; Equivalents</x:v>
      </x:c>
      <x:c r="E6" s="98" t="n">
        <x:v>1.389</x:v>
      </x:c>
      <x:c r="F6" s="78"/>
      <x:c r="G6" s="78"/>
      <x:c r="H6" s="78"/>
      <x:c r="I6" s="78"/>
    </x:row>
    <x:row r="7" ht="18" customHeight="1">
      <x:c r="A7" s="78" t="str">
        <x:v>Current Installments of Long-Term Debt</x:v>
      </x:c>
      <x:c r="B7" s="98" t="n">
        <x:v>4.967</x:v>
      </x:c>
      <x:c r="C7" s="78"/>
      <x:c r="D7" s="78" t="str">
        <x:v>Back-Up Credit Facilities (undrawn)</x:v>
      </x:c>
      <x:c r="E7" s="98" t="n">
        <x:v>11</x:v>
      </x:c>
      <x:c r="F7" s="78"/>
      <x:c r="G7" s="78"/>
      <x:c r="H7" s="78"/>
      <x:c r="I7" s="78"/>
    </x:row>
    <x:row r="8" ht="18" customHeight="1">
      <x:c r="A8" s="78" t="str">
        <x:v>Long-Term Debt, Excl. Current</x:v>
      </x:c>
      <x:c r="B8" s="98" t="n">
        <x:v>46.341</x:v>
      </x:c>
      <x:c r="C8" s="78"/>
      <x:c r="D8" s="78" t="str">
        <x:v>Commercial Paper Program Capacity</x:v>
      </x:c>
      <x:c r="E8" s="98" t="n">
        <x:v>11</x:v>
      </x:c>
      <x:c r="F8" s="78"/>
      <x:c r="G8" s="78"/>
      <x:c r="H8" s="78"/>
      <x:c r="I8" s="78"/>
    </x:row>
    <x:row r="9" ht="18" customHeight="1">
      <x:c r="A9" s="78" t="str">
        <x:v>Total Long-Term Debt</x:v>
      </x:c>
      <x:c r="B9" s="99" t="n">
        <x:f>B7+B8</x:f>
        <x:v>51.308</x:v>
      </x:c>
      <x:c r="C9" s="78"/>
      <x:c r="D9" s="78" t="str">
        <x:v>Commercial Paper Outstanding</x:v>
      </x:c>
      <x:c r="E9" s="98" t="n">
        <x:v>4.464</x:v>
      </x:c>
      <x:c r="F9" s="78"/>
      <x:c r="G9" s="78"/>
      <x:c r="H9" s="78"/>
      <x:c r="I9" s="78"/>
    </x:row>
    <x:row r="10" ht="18" customHeight="1">
      <x:c r="A10" s="78" t="str">
        <x:v>Finance Lease Obligations (included above)</x:v>
      </x:c>
      <x:c r="B10" s="98" t="n">
        <x:v>3.021</x:v>
      </x:c>
      <x:c r="C10" s="78"/>
      <x:c r="D10" s="78" t="str">
        <x:v>Remaining CP Program Capacity</x:v>
      </x:c>
      <x:c r="E10" s="99" t="n">
        <x:f>E8-E9</x:f>
        <x:v>6.536</x:v>
      </x:c>
      <x:c r="F10" s="78"/>
      <x:c r="G10" s="78"/>
      <x:c r="H10" s="78"/>
      <x:c r="I10" s="78"/>
    </x:row>
    <x:row r="11" ht="18" customHeight="1">
      <x:c r="A11" s="78" t="str">
        <x:v>Cash &amp; Equivalents</x:v>
      </x:c>
      <x:c r="B11" s="98" t="n">
        <x:v>1.389</x:v>
      </x:c>
      <x:c r="C11" s="78"/>
      <x:c r="D11" s="78"/>
      <x:c r="E11" s="78"/>
      <x:c r="F11" s="78"/>
      <x:c r="G11" s="78"/>
      <x:c r="H11" s="78"/>
      <x:c r="I11" s="78"/>
    </x:row>
    <x:row r="12" ht="18" customHeight="1">
      <x:c r="A12" s="78" t="str">
        <x:v>Total Funded Debt</x:v>
      </x:c>
      <x:c r="B12" s="99" t="n">
        <x:f>B6+B9</x:f>
        <x:v>55.772</x:v>
      </x:c>
      <x:c r="C12" s="78"/>
      <x:c r="D12" s="78"/>
      <x:c r="E12" s="78"/>
      <x:c r="F12" s="78"/>
      <x:c r="G12" s="78"/>
      <x:c r="H12" s="78"/>
      <x:c r="I12" s="78"/>
    </x:row>
    <x:row r="13" ht="18" customHeight="1">
      <x:c r="A13" s="78"/>
      <x:c r="B13" s="78"/>
      <x:c r="C13" s="78"/>
      <x:c r="D13" s="78"/>
      <x:c r="E13" s="78"/>
      <x:c r="F13" s="78"/>
      <x:c r="G13" s="78"/>
      <x:c r="H13" s="78"/>
      <x:c r="I13" s="78"/>
    </x:row>
    <x:row r="14" ht="18" customHeight="1">
      <x:c r="A14" s="14" t="str">
        <x:v>Key Credit Metrics</x:v>
      </x:c>
      <x:c r="B14" s="78"/>
      <x:c r="C14" s="78"/>
      <x:c r="D14" s="14" t="str">
        <x:v>Near-Term Refinancing</x:v>
      </x:c>
      <x:c r="E14" s="78"/>
      <x:c r="F14" s="78"/>
      <x:c r="G14" s="78"/>
      <x:c r="H14" s="78"/>
      <x:c r="I14" s="78"/>
    </x:row>
    <x:row r="15" ht="18" customHeight="1">
      <x:c r="A15" s="34" t="str">
        <x:v>Metric</x:v>
      </x:c>
      <x:c r="B15" s="34" t="str">
        <x:v>Value</x:v>
      </x:c>
      <x:c r="C15" s="78"/>
      <x:c r="D15" s="34" t="str">
        <x:v>Fiscal Year</x:v>
      </x:c>
      <x:c r="E15" s="34" t="str">
        <x:v>Principal Due</x:v>
      </x:c>
      <x:c r="F15" s="78"/>
      <x:c r="G15" s="78"/>
      <x:c r="H15" s="78"/>
      <x:c r="I15" s="78"/>
    </x:row>
    <x:row r="16" ht="18" customHeight="1">
      <x:c r="A16" s="78" t="str">
        <x:v>EBITDA</x:v>
      </x:c>
      <x:c r="B16" s="81" t="n">
        <x:f>'Historical Financials'!D8</x:f>
        <x:v>25.011000000000003</x:v>
      </x:c>
      <x:c r="C16" s="78"/>
      <x:c r="D16" s="78" t="str">
        <x:v>2026</x:v>
      </x:c>
      <x:c r="E16" s="98" t="n">
        <x:v>4.684</x:v>
      </x:c>
      <x:c r="F16" s="78"/>
      <x:c r="G16" s="78"/>
      <x:c r="H16" s="78"/>
      <x:c r="I16" s="78"/>
    </x:row>
    <x:row r="17" ht="18" customHeight="1">
      <x:c r="A17" s="78" t="str">
        <x:v>Net Debt</x:v>
      </x:c>
      <x:c r="B17" s="99" t="n">
        <x:f>B12-B11</x:f>
        <x:v>54.382999999999996</x:v>
      </x:c>
      <x:c r="C17" s="78"/>
      <x:c r="D17" s="78" t="str">
        <x:v>2027</x:v>
      </x:c>
      <x:c r="E17" s="98" t="n">
        <x:v>3.625</x:v>
      </x:c>
      <x:c r="F17" s="78"/>
      <x:c r="G17" s="78"/>
      <x:c r="H17" s="78"/>
      <x:c r="I17" s="78"/>
    </x:row>
    <x:row r="18" ht="18" customHeight="1">
      <x:c r="A18" s="78" t="str">
        <x:v>Debt / EBITDA</x:v>
      </x:c>
      <x:c r="B18" s="101" t="n">
        <x:f>B12/B16</x:f>
        <x:v>2.229898844508416</x:v>
      </x:c>
      <x:c r="C18" s="78"/>
      <x:c r="D18" s="78" t="str">
        <x:v>2028</x:v>
      </x:c>
      <x:c r="E18" s="98" t="n">
        <x:v>3.115</x:v>
      </x:c>
      <x:c r="F18" s="78"/>
      <x:c r="G18" s="78"/>
      <x:c r="H18" s="78"/>
      <x:c r="I18" s="78"/>
    </x:row>
    <x:row r="19" ht="18" customHeight="1">
      <x:c r="A19" s="78" t="str">
        <x:v>Net Debt / EBITDA</x:v>
      </x:c>
      <x:c r="B19" s="101" t="n">
        <x:f>B17/B16</x:f>
        <x:v>2.1743632801567307</x:v>
      </x:c>
      <x:c r="C19" s="78"/>
      <x:c r="D19" s="78" t="str">
        <x:v>2029</x:v>
      </x:c>
      <x:c r="E19" s="98" t="n">
        <x:v>3.852</x:v>
      </x:c>
      <x:c r="F19" s="78"/>
      <x:c r="G19" s="78"/>
      <x:c r="H19" s="78"/>
      <x:c r="I19" s="78"/>
    </x:row>
    <x:row r="20" ht="18" customHeight="1">
      <x:c r="A20" s="78" t="str">
        <x:v>Interest Coverage</x:v>
      </x:c>
      <x:c r="B20" s="83" t="n">
        <x:f>'Historical Financials'!D6/'Historical Financials'!D9</x:f>
        <x:v>8.660862354892206</x:v>
      </x:c>
      <x:c r="C20" s="78"/>
      <x:c r="D20" s="78" t="str">
        <x:v>2030</x:v>
      </x:c>
      <x:c r="E20" s="98" t="n">
        <x:v>2.072</x:v>
      </x:c>
      <x:c r="F20" s="78"/>
      <x:c r="G20" s="78"/>
      <x:c r="H20" s="78"/>
      <x:c r="I20" s="78"/>
    </x:row>
    <x:row r="21" ht="18" customHeight="1">
      <x:c r="A21" s="78" t="str">
        <x:v>Free Cash Flow</x:v>
      </x:c>
      <x:c r="B21" s="81" t="n">
        <x:f>'Historical Financials'!D12</x:f>
        <x:v>12.645999999999999</x:v>
      </x:c>
      <x:c r="C21" s="78"/>
      <x:c r="D21" s="78"/>
      <x:c r="E21" s="78"/>
      <x:c r="F21" s="78"/>
      <x:c r="G21" s="78"/>
      <x:c r="H21" s="78"/>
      <x:c r="I21" s="78"/>
    </x:row>
    <x:row r="22" ht="18" customHeight="1">
      <x:c r="A22" s="78"/>
      <x:c r="B22" s="78"/>
      <x:c r="C22" s="78"/>
      <x:c r="D22" s="78"/>
      <x:c r="E22" s="78"/>
      <x:c r="F22" s="78"/>
      <x:c r="G22" s="78"/>
      <x:c r="H22" s="78"/>
      <x:c r="I22" s="78"/>
    </x:row>
    <x:row r="23" ht="18" customHeight="1">
      <x:c r="A23" s="78"/>
      <x:c r="B23" s="78"/>
      <x:c r="C23" s="78"/>
      <x:c r="D23" s="78"/>
      <x:c r="E23" s="78"/>
      <x:c r="F23" s="78"/>
      <x:c r="G23" s="78"/>
      <x:c r="H23" s="78"/>
      <x:c r="I23" s="78"/>
    </x:row>
    <x:row r="24" ht="18" customHeight="1">
      <x:c r="A24" s="78"/>
      <x:c r="B24" s="78"/>
      <x:c r="C24" s="78"/>
      <x:c r="D24" s="78"/>
      <x:c r="E24" s="78"/>
      <x:c r="F24" s="78"/>
      <x:c r="G24" s="78"/>
      <x:c r="H24" s="78"/>
      <x:c r="I24" s="78"/>
    </x:row>
    <x:row r="25" ht="18" customHeight="1">
      <x:c r="A25" s="78"/>
      <x:c r="B25" s="78"/>
      <x:c r="C25" s="78"/>
      <x:c r="D25" s="78"/>
      <x:c r="E25" s="78"/>
      <x:c r="F25" s="78"/>
      <x:c r="G25" s="78"/>
      <x:c r="H25" s="78"/>
      <x:c r="I25" s="78"/>
    </x:row>
    <x:row r="26" ht="18" customHeight="1">
      <x:c r="A26" s="78"/>
      <x:c r="B26" s="78"/>
      <x:c r="C26" s="78"/>
      <x:c r="D26" s="78"/>
      <x:c r="E26" s="78"/>
      <x:c r="F26" s="78"/>
      <x:c r="G26" s="78"/>
      <x:c r="H26" s="78"/>
      <x:c r="I26" s="78"/>
    </x:row>
    <x:row r="27" ht="18" customHeight="1">
      <x:c r="A27" s="78"/>
      <x:c r="B27" s="78"/>
      <x:c r="C27" s="78"/>
      <x:c r="D27" s="78"/>
      <x:c r="E27" s="78"/>
      <x:c r="F27" s="78"/>
      <x:c r="G27" s="78"/>
      <x:c r="H27" s="78"/>
      <x:c r="I27" s="78"/>
    </x:row>
    <x:row r="28" ht="18" customHeight="1">
      <x:c r="A28" s="78"/>
      <x:c r="B28" s="78"/>
      <x:c r="C28" s="78"/>
      <x:c r="D28" s="78"/>
      <x:c r="E28" s="78"/>
      <x:c r="F28" s="78"/>
      <x:c r="G28" s="78"/>
      <x:c r="H28" s="78"/>
      <x:c r="I28" s="78"/>
    </x:row>
    <x:row r="29" ht="18" customHeight="1">
      <x:c r="A29" s="78"/>
      <x:c r="B29" s="78"/>
      <x:c r="C29" s="78"/>
      <x:c r="D29" s="78"/>
      <x:c r="E29" s="78"/>
      <x:c r="F29" s="78"/>
      <x:c r="G29" s="78"/>
      <x:c r="H29" s="78"/>
      <x:c r="I29" s="78"/>
    </x:row>
    <x:row r="30" ht="18" customHeight="1">
      <x:c r="A30" s="78"/>
      <x:c r="B30" s="78"/>
      <x:c r="C30" s="78"/>
      <x:c r="D30" s="78"/>
      <x:c r="E30" s="78"/>
      <x:c r="F30" s="78"/>
      <x:c r="G30" s="78"/>
      <x:c r="H30" s="78"/>
      <x:c r="I30" s="78"/>
    </x:row>
    <x:row r="31" ht="18" customHeight="1">
      <x:c r="A31" s="78"/>
      <x:c r="B31" s="78"/>
      <x:c r="C31" s="78"/>
      <x:c r="D31" s="78"/>
      <x:c r="E31" s="78"/>
      <x:c r="F31" s="78"/>
      <x:c r="G31" s="78"/>
      <x:c r="H31" s="78"/>
      <x:c r="I31" s="78"/>
    </x:row>
    <x:row r="32" ht="18" customHeight="1">
      <x:c r="A32" s="78"/>
      <x:c r="B32" s="78"/>
      <x:c r="C32" s="78"/>
      <x:c r="D32" s="78"/>
      <x:c r="E32" s="78"/>
      <x:c r="F32" s="78"/>
      <x:c r="G32" s="78"/>
      <x:c r="H32" s="78"/>
      <x:c r="I32" s="78"/>
    </x:row>
    <x:row r="33" ht="18" customHeight="1">
      <x:c r="A33" s="78"/>
      <x:c r="B33" s="78"/>
      <x:c r="C33" s="78"/>
      <x:c r="D33" s="78"/>
      <x:c r="E33" s="78"/>
      <x:c r="F33" s="78"/>
      <x:c r="G33" s="78"/>
      <x:c r="H33" s="78"/>
      <x:c r="I33" s="78"/>
    </x:row>
    <x:row r="34" ht="18" customHeight="1">
      <x:c r="A34" s="78"/>
      <x:c r="B34" s="78"/>
      <x:c r="C34" s="78"/>
      <x:c r="D34" s="78"/>
      <x:c r="E34" s="78"/>
      <x:c r="F34" s="78"/>
      <x:c r="G34" s="78"/>
      <x:c r="H34" s="78"/>
      <x:c r="I34" s="78"/>
    </x:row>
    <x:row r="35" ht="18" customHeight="1">
      <x:c r="A35" s="78"/>
      <x:c r="B35" s="78"/>
      <x:c r="C35" s="78"/>
      <x:c r="D35" s="78"/>
      <x:c r="E35" s="78"/>
      <x:c r="F35" s="78"/>
      <x:c r="G35" s="78"/>
      <x:c r="H35" s="78"/>
      <x:c r="I35" s="78"/>
    </x:row>
    <x:row r="36" ht="18" customHeight="1">
      <x:c r="A36" s="78"/>
      <x:c r="B36" s="78"/>
      <x:c r="C36" s="78"/>
      <x:c r="D36" s="78"/>
      <x:c r="E36" s="78"/>
      <x:c r="F36" s="78"/>
      <x:c r="G36" s="78"/>
      <x:c r="H36" s="78"/>
      <x:c r="I36" s="78"/>
    </x:row>
    <x:row r="37" ht="18" customHeight="1">
      <x:c r="A37" s="78"/>
      <x:c r="B37" s="78"/>
      <x:c r="C37" s="78"/>
      <x:c r="D37" s="78"/>
      <x:c r="E37" s="78"/>
      <x:c r="F37" s="78"/>
      <x:c r="G37" s="78"/>
      <x:c r="H37" s="78"/>
      <x:c r="I37" s="78"/>
    </x:row>
    <x:row r="38" ht="18" customHeight="1">
      <x:c r="A38" s="78"/>
      <x:c r="B38" s="78"/>
      <x:c r="C38" s="78"/>
      <x:c r="D38" s="78"/>
      <x:c r="E38" s="78"/>
      <x:c r="F38" s="78"/>
      <x:c r="G38" s="78"/>
      <x:c r="H38" s="78"/>
      <x:c r="I38" s="78"/>
    </x:row>
    <x:row r="39" ht="18" customHeight="1">
      <x:c r="A39" s="78"/>
      <x:c r="B39" s="78"/>
      <x:c r="C39" s="78"/>
      <x:c r="D39" s="78"/>
      <x:c r="E39" s="78"/>
      <x:c r="F39" s="78"/>
      <x:c r="G39" s="78"/>
      <x:c r="H39" s="78"/>
      <x:c r="I39" s="78"/>
    </x:row>
    <x:row r="40" ht="18" customHeight="1">
      <x:c r="A40" s="78"/>
      <x:c r="B40" s="78"/>
      <x:c r="C40" s="78"/>
      <x:c r="D40" s="78"/>
      <x:c r="E40" s="78"/>
      <x:c r="F40" s="78"/>
      <x:c r="G40" s="78"/>
      <x:c r="H40" s="78"/>
      <x:c r="I40" s="78"/>
    </x:row>
  </x:sheetData>
  <x:mergeCells>
    <x:mergeCell ref="A1:F2"/>
    <x:mergeCell ref="A4:C4"/>
    <x:mergeCell ref="D4:F4"/>
    <x:mergeCell ref="A14:F14"/>
    <x:mergeCell ref="D14:F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8" customHeight="1">
      <x:c r="A1" s="5" t="str">
        <x:v>Debt Maturity Profile</x:v>
      </x:c>
      <x:c r="B1" s="78"/>
      <x:c r="C1" s="78"/>
      <x:c r="D1" s="78"/>
      <x:c r="E1" s="78"/>
      <x:c r="F1" s="78"/>
      <x:c r="G1" s="78"/>
      <x:c r="H1" s="78"/>
      <x:c r="I1" s="78"/>
    </x:row>
    <x:row r="2" ht="18" customHeight="1">
      <x:c r="A2" s="78"/>
      <x:c r="B2" s="78"/>
      <x:c r="C2" s="78"/>
      <x:c r="D2" s="78"/>
      <x:c r="E2" s="78"/>
      <x:c r="F2" s="78"/>
      <x:c r="G2" s="78"/>
      <x:c r="H2" s="78"/>
      <x:c r="I2" s="78"/>
    </x:row>
    <x:row r="3" ht="18" customHeight="1">
      <x:c r="A3" s="78"/>
      <x:c r="B3" s="78"/>
      <x:c r="C3" s="78"/>
      <x:c r="D3" s="78"/>
      <x:c r="E3" s="78"/>
      <x:c r="F3" s="78"/>
      <x:c r="G3" s="78"/>
      <x:c r="H3" s="78"/>
      <x:c r="I3" s="78"/>
    </x:row>
    <x:row r="4" ht="18" customHeight="1">
      <x:c r="A4" s="34" t="str">
        <x:v>Fiscal Year</x:v>
      </x:c>
      <x:c r="B4" s="34" t="str">
        <x:v>Principal Due ($B)</x:v>
      </x:c>
      <x:c r="C4" s="78"/>
      <x:c r="D4" s="14" t="str">
        <x:v>Selected Senior Notes</x:v>
      </x:c>
      <x:c r="E4" s="78"/>
      <x:c r="F4" s="78"/>
      <x:c r="G4" s="78"/>
      <x:c r="H4" s="78"/>
      <x:c r="I4" s="78"/>
    </x:row>
    <x:row r="5" ht="18" customHeight="1">
      <x:c r="A5" s="78" t="str">
        <x:v>2026</x:v>
      </x:c>
      <x:c r="B5" s="98" t="n">
        <x:v>4.684</x:v>
      </x:c>
      <x:c r="C5" s="78"/>
      <x:c r="D5" s="34" t="str">
        <x:v>Coupon</x:v>
      </x:c>
      <x:c r="E5" s="34" t="str">
        <x:v>Maturity</x:v>
      </x:c>
      <x:c r="F5" s="34" t="str">
        <x:v>Principal ($B)</x:v>
      </x:c>
      <x:c r="G5" s="78"/>
      <x:c r="H5" s="78"/>
      <x:c r="I5" s="78"/>
    </x:row>
    <x:row r="6" ht="18" customHeight="1">
      <x:c r="A6" s="78" t="str">
        <x:v>2027</x:v>
      </x:c>
      <x:c r="B6" s="98" t="n">
        <x:v>3.625</x:v>
      </x:c>
      <x:c r="C6" s="78"/>
      <x:c r="D6" s="106" t="str">
        <x:v>3.00%</x:v>
      </x:c>
      <x:c r="E6" s="106" t="str">
        <x:v>Apr-2026</x:v>
      </x:c>
      <x:c r="F6" s="98" t="n">
        <x:v>1.3</x:v>
      </x:c>
      <x:c r="G6" s="78"/>
      <x:c r="H6" s="78"/>
      <x:c r="I6" s="78"/>
    </x:row>
    <x:row r="7" ht="18" customHeight="1">
      <x:c r="A7" s="78" t="str">
        <x:v>2028</x:v>
      </x:c>
      <x:c r="B7" s="98" t="n">
        <x:v>3.115</x:v>
      </x:c>
      <x:c r="C7" s="78"/>
      <x:c r="D7" s="106" t="str">
        <x:v>5.15%</x:v>
      </x:c>
      <x:c r="E7" s="106" t="str">
        <x:v>Jun-2026</x:v>
      </x:c>
      <x:c r="F7" s="98" t="n">
        <x:v>1.5</x:v>
      </x:c>
      <x:c r="G7" s="78"/>
      <x:c r="H7" s="78"/>
      <x:c r="I7" s="78"/>
    </x:row>
    <x:row r="8" ht="18" customHeight="1">
      <x:c r="A8" s="78" t="str">
        <x:v>2029</x:v>
      </x:c>
      <x:c r="B8" s="98" t="n">
        <x:v>3.852</x:v>
      </x:c>
      <x:c r="C8" s="78"/>
      <x:c r="D8" s="106" t="str">
        <x:v>2.125%</x:v>
      </x:c>
      <x:c r="E8" s="106" t="str">
        <x:v>Sep-2026</x:v>
      </x:c>
      <x:c r="F8" s="98" t="n">
        <x:v>1</x:v>
      </x:c>
      <x:c r="G8" s="78"/>
      <x:c r="H8" s="78"/>
      <x:c r="I8" s="78"/>
    </x:row>
    <x:row r="9" ht="18" customHeight="1">
      <x:c r="A9" s="78" t="str">
        <x:v>2030</x:v>
      </x:c>
      <x:c r="B9" s="98" t="n">
        <x:v>2.072</x:v>
      </x:c>
      <x:c r="C9" s="78"/>
      <x:c r="D9" s="106" t="str">
        <x:v>4.95%</x:v>
      </x:c>
      <x:c r="E9" s="106" t="str">
        <x:v>Sep-2026</x:v>
      </x:c>
      <x:c r="F9" s="98" t="n">
        <x:v>0.75</x:v>
      </x:c>
      <x:c r="G9" s="78"/>
      <x:c r="H9" s="78"/>
      <x:c r="I9" s="78"/>
    </x:row>
    <x:row r="10" ht="18" customHeight="1">
      <x:c r="A10" s="78" t="str">
        <x:v>Thereafter</x:v>
      </x:c>
      <x:c r="B10" s="98" t="n">
        <x:v>32.049</x:v>
      </x:c>
      <x:c r="C10" s="78"/>
      <x:c r="D10" s="106" t="str">
        <x:v>2.875%</x:v>
      </x:c>
      <x:c r="E10" s="106" t="str">
        <x:v>Apr-2027</x:v>
      </x:c>
      <x:c r="F10" s="98" t="n">
        <x:v>0.75</x:v>
      </x:c>
      <x:c r="G10" s="78"/>
      <x:c r="H10" s="78"/>
      <x:c r="I10" s="78"/>
    </x:row>
    <x:row r="11" ht="18" customHeight="1">
      <x:c r="A11" s="78"/>
      <x:c r="B11" s="78"/>
      <x:c r="C11" s="78"/>
      <x:c r="D11" s="106" t="str">
        <x:v>2.50%</x:v>
      </x:c>
      <x:c r="E11" s="106" t="str">
        <x:v>Apr-2027</x:v>
      </x:c>
      <x:c r="F11" s="98" t="n">
        <x:v>0.75</x:v>
      </x:c>
      <x:c r="G11" s="78"/>
      <x:c r="H11" s="78"/>
      <x:c r="I11" s="78"/>
    </x:row>
    <x:row r="12" ht="18" customHeight="1">
      <x:c r="A12" s="78"/>
      <x:c r="B12" s="78"/>
      <x:c r="C12" s="78"/>
      <x:c r="D12" s="106" t="str">
        <x:v>4.875%</x:v>
      </x:c>
      <x:c r="E12" s="106" t="str">
        <x:v>Jun-2027</x:v>
      </x:c>
      <x:c r="F12" s="98" t="n">
        <x:v>1</x:v>
      </x:c>
      <x:c r="G12" s="78"/>
      <x:c r="H12" s="78"/>
      <x:c r="I12" s="78"/>
    </x:row>
    <x:row r="13" ht="18" customHeight="1">
      <x:c r="A13" s="78"/>
      <x:c r="B13" s="78"/>
      <x:c r="C13" s="78"/>
      <x:c r="D13" s="106" t="str">
        <x:v>2.80%</x:v>
      </x:c>
      <x:c r="E13" s="106" t="str">
        <x:v>Sep-2027</x:v>
      </x:c>
      <x:c r="F13" s="98" t="n">
        <x:v>1</x:v>
      </x:c>
      <x:c r="G13" s="78"/>
      <x:c r="H13" s="78"/>
      <x:c r="I13" s="78"/>
    </x:row>
    <x:row r="14" ht="18" customHeight="1">
      <x:c r="A14" s="78"/>
      <x:c r="B14" s="78"/>
      <x:c r="C14" s="78"/>
      <x:c r="D14" s="78"/>
      <x:c r="E14" s="78"/>
      <x:c r="F14" s="78"/>
      <x:c r="G14" s="78"/>
      <x:c r="H14" s="78"/>
      <x:c r="I14" s="78"/>
    </x:row>
    <x:row r="15" ht="18" customHeight="1">
      <x:c r="A15" s="78"/>
      <x:c r="B15" s="78"/>
      <x:c r="C15" s="78"/>
      <x:c r="D15" s="78"/>
      <x:c r="E15" s="78"/>
      <x:c r="F15" s="78"/>
      <x:c r="G15" s="78"/>
      <x:c r="H15" s="78"/>
      <x:c r="I15" s="78"/>
    </x:row>
    <x:row r="16" ht="18" customHeight="1">
      <x:c r="A16" s="78"/>
      <x:c r="B16" s="78"/>
      <x:c r="C16" s="78"/>
      <x:c r="D16" s="78"/>
      <x:c r="E16" s="78"/>
      <x:c r="F16" s="78"/>
      <x:c r="G16" s="78"/>
      <x:c r="H16" s="78"/>
      <x:c r="I16" s="78"/>
    </x:row>
    <x:row r="17" ht="18" customHeight="1">
      <x:c r="A17" s="78"/>
      <x:c r="B17" s="78"/>
      <x:c r="C17" s="78"/>
      <x:c r="D17" s="78"/>
      <x:c r="E17" s="78"/>
      <x:c r="F17" s="78"/>
      <x:c r="G17" s="78"/>
      <x:c r="H17" s="78"/>
      <x:c r="I17" s="78"/>
    </x:row>
    <x:row r="18" ht="18" customHeight="1">
      <x:c r="A18" s="78"/>
      <x:c r="B18" s="78"/>
      <x:c r="C18" s="78"/>
      <x:c r="D18" s="78"/>
      <x:c r="E18" s="78"/>
      <x:c r="F18" s="78"/>
      <x:c r="G18" s="78"/>
      <x:c r="H18" s="78"/>
      <x:c r="I18" s="78"/>
    </x:row>
    <x:row r="19" ht="18" customHeight="1">
      <x:c r="A19" s="78"/>
      <x:c r="B19" s="78"/>
      <x:c r="C19" s="78"/>
      <x:c r="D19" s="78"/>
      <x:c r="E19" s="78"/>
      <x:c r="F19" s="78"/>
      <x:c r="G19" s="78"/>
      <x:c r="H19" s="78"/>
      <x:c r="I19" s="78"/>
    </x:row>
    <x:row r="20" ht="18" customHeight="1">
      <x:c r="A20" s="78"/>
      <x:c r="B20" s="78"/>
      <x:c r="C20" s="78"/>
      <x:c r="D20" s="78"/>
      <x:c r="E20" s="78"/>
      <x:c r="F20" s="78"/>
      <x:c r="G20" s="78"/>
      <x:c r="H20" s="78"/>
      <x:c r="I20" s="78"/>
    </x:row>
    <x:row r="21" ht="18" customHeight="1">
      <x:c r="A21" s="78"/>
      <x:c r="B21" s="78"/>
      <x:c r="C21" s="78"/>
      <x:c r="D21" s="78"/>
      <x:c r="E21" s="78"/>
      <x:c r="F21" s="78"/>
      <x:c r="G21" s="78"/>
      <x:c r="H21" s="78"/>
      <x:c r="I21" s="78"/>
    </x:row>
    <x:row r="22" ht="18" customHeight="1">
      <x:c r="A22" s="78"/>
      <x:c r="B22" s="78"/>
      <x:c r="C22" s="78"/>
      <x:c r="D22" s="78"/>
      <x:c r="E22" s="78"/>
      <x:c r="F22" s="78"/>
      <x:c r="G22" s="78"/>
      <x:c r="H22" s="78"/>
      <x:c r="I22" s="78"/>
    </x:row>
    <x:row r="23" ht="18" customHeight="1">
      <x:c r="A23" s="78"/>
      <x:c r="B23" s="78"/>
      <x:c r="C23" s="78"/>
      <x:c r="D23" s="78"/>
      <x:c r="E23" s="78"/>
      <x:c r="F23" s="78"/>
      <x:c r="G23" s="78"/>
      <x:c r="H23" s="78"/>
      <x:c r="I23" s="78"/>
    </x:row>
    <x:row r="24" ht="18" customHeight="1">
      <x:c r="A24" s="78"/>
      <x:c r="B24" s="78"/>
      <x:c r="C24" s="78"/>
      <x:c r="D24" s="78"/>
      <x:c r="E24" s="78"/>
      <x:c r="F24" s="78"/>
      <x:c r="G24" s="78"/>
      <x:c r="H24" s="78"/>
      <x:c r="I24" s="78"/>
    </x:row>
    <x:row r="25" ht="18" customHeight="1">
      <x:c r="A25" s="78"/>
      <x:c r="B25" s="78"/>
      <x:c r="C25" s="78"/>
      <x:c r="D25" s="78"/>
      <x:c r="E25" s="78"/>
      <x:c r="F25" s="78"/>
      <x:c r="G25" s="78"/>
      <x:c r="H25" s="78"/>
      <x:c r="I25" s="78"/>
    </x:row>
    <x:row r="26" ht="18" customHeight="1">
      <x:c r="A26" s="78"/>
      <x:c r="B26" s="78"/>
      <x:c r="C26" s="78"/>
      <x:c r="D26" s="78"/>
      <x:c r="E26" s="78"/>
      <x:c r="F26" s="78"/>
      <x:c r="G26" s="78"/>
      <x:c r="H26" s="78"/>
      <x:c r="I26" s="78"/>
    </x:row>
    <x:row r="27" ht="18" customHeight="1">
      <x:c r="A27" s="78"/>
      <x:c r="B27" s="78"/>
      <x:c r="C27" s="78"/>
      <x:c r="D27" s="78"/>
      <x:c r="E27" s="78"/>
      <x:c r="F27" s="78"/>
      <x:c r="G27" s="78"/>
      <x:c r="H27" s="78"/>
      <x:c r="I27" s="78"/>
    </x:row>
    <x:row r="28" ht="18" customHeight="1">
      <x:c r="A28" s="78"/>
      <x:c r="B28" s="78"/>
      <x:c r="C28" s="78"/>
      <x:c r="D28" s="78"/>
      <x:c r="E28" s="78"/>
      <x:c r="F28" s="78"/>
      <x:c r="G28" s="78"/>
      <x:c r="H28" s="78"/>
      <x:c r="I28" s="78"/>
    </x:row>
    <x:row r="29" ht="18" customHeight="1">
      <x:c r="A29" s="78"/>
      <x:c r="B29" s="78"/>
      <x:c r="C29" s="78"/>
      <x:c r="D29" s="78"/>
      <x:c r="E29" s="78"/>
      <x:c r="F29" s="78"/>
      <x:c r="G29" s="78"/>
      <x:c r="H29" s="78"/>
      <x:c r="I29" s="78"/>
    </x:row>
    <x:row r="30" ht="18" customHeight="1">
      <x:c r="A30" s="78"/>
      <x:c r="B30" s="78"/>
      <x:c r="C30" s="78"/>
      <x:c r="D30" s="78"/>
      <x:c r="E30" s="78"/>
      <x:c r="F30" s="78"/>
      <x:c r="G30" s="78"/>
      <x:c r="H30" s="78"/>
      <x:c r="I30" s="78"/>
    </x:row>
    <x:row r="31" ht="18" customHeight="1">
      <x:c r="A31" s="78"/>
      <x:c r="B31" s="78"/>
      <x:c r="C31" s="78"/>
      <x:c r="D31" s="78"/>
      <x:c r="E31" s="78"/>
      <x:c r="F31" s="78"/>
      <x:c r="G31" s="78"/>
      <x:c r="H31" s="78"/>
      <x:c r="I31" s="78"/>
    </x:row>
    <x:row r="32" ht="18" customHeight="1">
      <x:c r="A32" s="78"/>
      <x:c r="B32" s="78"/>
      <x:c r="C32" s="78"/>
      <x:c r="D32" s="78"/>
      <x:c r="E32" s="78"/>
      <x:c r="F32" s="78"/>
      <x:c r="G32" s="78"/>
      <x:c r="H32" s="78"/>
      <x:c r="I32" s="78"/>
    </x:row>
    <x:row r="33" ht="18" customHeight="1">
      <x:c r="A33" s="78"/>
      <x:c r="B33" s="78"/>
      <x:c r="C33" s="78"/>
      <x:c r="D33" s="78"/>
      <x:c r="E33" s="78"/>
      <x:c r="F33" s="78"/>
      <x:c r="G33" s="78"/>
      <x:c r="H33" s="78"/>
      <x:c r="I33" s="78"/>
    </x:row>
    <x:row r="34" ht="18" customHeight="1">
      <x:c r="A34" s="78"/>
      <x:c r="B34" s="78"/>
      <x:c r="C34" s="78"/>
      <x:c r="D34" s="78"/>
      <x:c r="E34" s="78"/>
      <x:c r="F34" s="78"/>
      <x:c r="G34" s="78"/>
      <x:c r="H34" s="78"/>
      <x:c r="I34" s="78"/>
    </x:row>
    <x:row r="35" ht="18" customHeight="1">
      <x:c r="A35" s="78"/>
      <x:c r="B35" s="78"/>
      <x:c r="C35" s="78"/>
      <x:c r="D35" s="78"/>
      <x:c r="E35" s="78"/>
      <x:c r="F35" s="78"/>
      <x:c r="G35" s="78"/>
      <x:c r="H35" s="78"/>
      <x:c r="I35" s="78"/>
    </x:row>
    <x:row r="36" ht="18" customHeight="1">
      <x:c r="A36" s="78"/>
      <x:c r="B36" s="78"/>
      <x:c r="C36" s="78"/>
      <x:c r="D36" s="78"/>
      <x:c r="E36" s="78"/>
      <x:c r="F36" s="78"/>
      <x:c r="G36" s="78"/>
      <x:c r="H36" s="78"/>
      <x:c r="I36" s="78"/>
    </x:row>
    <x:row r="37" ht="18" customHeight="1">
      <x:c r="A37" s="78"/>
      <x:c r="B37" s="78"/>
      <x:c r="C37" s="78"/>
      <x:c r="D37" s="78"/>
      <x:c r="E37" s="78"/>
      <x:c r="F37" s="78"/>
      <x:c r="G37" s="78"/>
      <x:c r="H37" s="78"/>
      <x:c r="I37" s="78"/>
    </x:row>
    <x:row r="38" ht="18" customHeight="1">
      <x:c r="A38" s="78"/>
      <x:c r="B38" s="78"/>
      <x:c r="C38" s="78"/>
      <x:c r="D38" s="78"/>
      <x:c r="E38" s="78"/>
      <x:c r="F38" s="78"/>
      <x:c r="G38" s="78"/>
      <x:c r="H38" s="78"/>
      <x:c r="I38" s="78"/>
    </x:row>
    <x:row r="39" ht="18" customHeight="1">
      <x:c r="A39" s="78"/>
      <x:c r="B39" s="78"/>
      <x:c r="C39" s="78"/>
      <x:c r="D39" s="78"/>
      <x:c r="E39" s="78"/>
      <x:c r="F39" s="78"/>
      <x:c r="G39" s="78"/>
      <x:c r="H39" s="78"/>
      <x:c r="I39" s="78"/>
    </x:row>
    <x:row r="40" ht="18" customHeight="1">
      <x:c r="A40" s="78"/>
      <x:c r="B40" s="78"/>
      <x:c r="C40" s="78"/>
      <x:c r="D40" s="78"/>
      <x:c r="E40" s="78"/>
      <x:c r="F40" s="78"/>
      <x:c r="G40" s="78"/>
      <x:c r="H40" s="78"/>
      <x:c r="I40" s="78"/>
    </x:row>
  </x:sheetData>
  <x:mergeCells>
    <x:mergeCell ref="A1:F2"/>
    <x:mergeCell ref="D4:F4"/>
  </x:mergeCells>
  <x:pageMargins left="0.7" right="0.7" top="0.75" bottom="0.75" header="0.3" footer="0.3"/>
  <x:drawing xmlns:r="http://schemas.openxmlformats.org/officeDocument/2006/relationships" r:id="R568a55efe2c84b80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5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</x:cols>
  <x:sheetData>
    <x:row r="1" ht="18" customHeight="1">
      <x:c r="A1" s="5" t="str">
        <x:v>$3.0B Incremental Debt Scenario</x:v>
      </x:c>
      <x:c r="B1" s="78"/>
      <x:c r="C1" s="78"/>
      <x:c r="D1" s="78"/>
      <x:c r="E1" s="78"/>
      <x:c r="F1" s="78"/>
      <x:c r="G1" s="78"/>
      <x:c r="H1" s="78"/>
      <x:c r="I1" s="78"/>
    </x:row>
    <x:row r="2" ht="18" customHeight="1">
      <x:c r="A2" s="78"/>
      <x:c r="B2" s="78"/>
      <x:c r="C2" s="78"/>
      <x:c r="D2" s="78"/>
      <x:c r="E2" s="78"/>
      <x:c r="F2" s="78"/>
      <x:c r="G2" s="78"/>
      <x:c r="H2" s="78"/>
      <x:c r="I2" s="78"/>
    </x:row>
    <x:row r="3" ht="18" customHeight="1">
      <x:c r="A3" s="78"/>
      <x:c r="B3" s="78"/>
      <x:c r="C3" s="78"/>
      <x:c r="D3" s="78"/>
      <x:c r="E3" s="78"/>
      <x:c r="F3" s="78"/>
      <x:c r="G3" s="78"/>
      <x:c r="H3" s="78"/>
      <x:c r="I3" s="78"/>
    </x:row>
    <x:row r="4" ht="18" customHeight="1">
      <x:c r="A4" s="14" t="str">
        <x:v>Transaction Assumptions</x:v>
      </x:c>
      <x:c r="B4" s="78"/>
      <x:c r="C4" s="78"/>
      <x:c r="D4" s="14" t="str">
        <x:v>Pro Forma Credit Metrics</x:v>
      </x:c>
      <x:c r="E4" s="78"/>
      <x:c r="F4" s="78"/>
      <x:c r="G4" s="78"/>
      <x:c r="H4" s="78"/>
      <x:c r="I4" s="78"/>
    </x:row>
    <x:row r="5" ht="18" customHeight="1">
      <x:c r="A5" s="34" t="str">
        <x:v>Assumption</x:v>
      </x:c>
      <x:c r="B5" s="34" t="str">
        <x:v>Value</x:v>
      </x:c>
      <x:c r="C5" s="78"/>
      <x:c r="D5" s="34" t="str">
        <x:v>Scenario</x:v>
      </x:c>
      <x:c r="E5" s="34" t="str">
        <x:v>Revenue</x:v>
      </x:c>
      <x:c r="F5" s="34" t="str">
        <x:v>EBITDA</x:v>
      </x:c>
      <x:c r="G5" s="34" t="str">
        <x:v>Total Debt</x:v>
      </x:c>
      <x:c r="H5" s="34" t="str">
        <x:v>Debt / EBITDA</x:v>
      </x:c>
      <x:c r="I5" s="34" t="str">
        <x:v>Interest Coverage</x:v>
      </x:c>
    </x:row>
    <x:row r="6" ht="18" customHeight="1">
      <x:c r="A6" s="78" t="str">
        <x:v>New Debt</x:v>
      </x:c>
      <x:c r="B6" s="80" t="n">
        <x:v>3</x:v>
      </x:c>
      <x:c r="C6" s="78"/>
      <x:c r="D6" s="78" t="str">
        <x:v>Current</x:v>
      </x:c>
      <x:c r="E6" s="81" t="n">
        <x:f>'Historical Financials'!D5</x:f>
        <x:v>164.683</x:v>
      </x:c>
      <x:c r="F6" s="81" t="n">
        <x:f>'Historical Financials'!D8</x:f>
        <x:v>25.011000000000003</x:v>
      </x:c>
      <x:c r="G6" s="81" t="n">
        <x:f>'Capital Structure'!B12</x:f>
        <x:v>55.772</x:v>
      </x:c>
      <x:c r="H6" s="101" t="n">
        <x:f>G6/F6</x:f>
        <x:v>2.229898844508416</x:v>
      </x:c>
      <x:c r="I6" s="83" t="n">
        <x:f>'Capital Structure'!B20</x:f>
        <x:v>8.660862354892206</x:v>
      </x:c>
    </x:row>
    <x:row r="7" ht="18" customHeight="1">
      <x:c r="A7" s="78" t="str">
        <x:v>Illustrative Interest Rate</x:v>
      </x:c>
      <x:c r="B7" s="82" t="n">
        <x:v>0.06</x:v>
      </x:c>
      <x:c r="C7" s="78"/>
      <x:c r="D7" s="78" t="str">
        <x:v>Base + $3B</x:v>
      </x:c>
      <x:c r="E7" s="99" t="n">
        <x:f>E6</x:f>
        <x:v>164.683</x:v>
      </x:c>
      <x:c r="F7" s="99" t="n">
        <x:f>F6</x:f>
        <x:v>25.011000000000003</x:v>
      </x:c>
      <x:c r="G7" s="99" t="n">
        <x:f>G6+$B$6</x:f>
        <x:v>58.772</x:v>
      </x:c>
      <x:c r="H7" s="101" t="n">
        <x:f>G7/F7</x:f>
        <x:v>2.349846067730198</x:v>
      </x:c>
      <x:c r="I7" s="101" t="n">
        <x:f>'Historical Financials'!D6/('Historical Financials'!D9+$B$8)</x:f>
        <x:v>8.059413580246913</x:v>
      </x:c>
    </x:row>
    <x:row r="8" ht="18" customHeight="1">
      <x:c r="A8" s="78" t="str">
        <x:v>Incremental Interest</x:v>
      </x:c>
      <x:c r="B8" s="99" t="n">
        <x:f>B6*B7</x:f>
        <x:v>0.18</x:v>
      </x:c>
      <x:c r="C8" s="78"/>
      <x:c r="D8" s="78" t="str">
        <x:v>Moderate Downside + $3B</x:v>
      </x:c>
      <x:c r="E8" s="99" t="n">
        <x:f>E6*(1+$B$9)</x:f>
        <x:v>156.44885</x:v>
      </x:c>
      <x:c r="F8" s="99" t="n">
        <x:f>E8*(('Historical Financials'!D6/'Historical Financials'!D5)+$B$10)+E8*('Historical Financials'!D7/'Historical Financials'!D5)</x:f>
        <x:v>22.195961500000003</x:v>
      </x:c>
      <x:c r="G8" s="99" t="n">
        <x:f>G7</x:f>
        <x:v>58.772</x:v>
      </x:c>
      <x:c r="H8" s="101" t="n">
        <x:f>G8/F8</x:f>
        <x:v>2.647869072939237</x:v>
      </x:c>
      <x:c r="I8" s="101" t="n">
        <x:f>(E8*(('Historical Financials'!D6/'Historical Financials'!D5)+$B$10))/('Historical Financials'!D9+$B$8)</x:f>
        <x:v>7.052859375000001</x:v>
      </x:c>
    </x:row>
    <x:row r="9" ht="18" customHeight="1">
      <x:c r="A9" s="78" t="str">
        <x:v>Moderate Revenue Shock</x:v>
      </x:c>
      <x:c r="B9" s="82" t="n">
        <x:v>-0.05</x:v>
      </x:c>
      <x:c r="C9" s="78"/>
      <x:c r="D9" s="78" t="str">
        <x:v>Severe Downside + $3B</x:v>
      </x:c>
      <x:c r="E9" s="99" t="n">
        <x:f>E6*(1-10%)</x:f>
        <x:v>148.2147</x:v>
      </x:c>
      <x:c r="F9" s="99" t="n">
        <x:f>E9*(('Historical Financials'!D6/'Historical Financials'!D5)-2%)+E9*('Historical Financials'!D7/'Historical Financials'!D5)</x:f>
        <x:v>19.545606000000003</x:v>
      </x:c>
      <x:c r="G9" s="99" t="n">
        <x:f>G7</x:f>
        <x:v>58.772</x:v>
      </x:c>
      <x:c r="H9" s="101" t="n">
        <x:f>G9/F9</x:f>
        <x:v>3.006916234779315</x:v>
      </x:c>
      <x:c r="I9" s="101" t="n">
        <x:f>(E9*(('Historical Financials'!D6/'Historical Financials'!D5)-2%))/('Historical Financials'!D9+$B$8)</x:f>
        <x:v>6.109840277777778</x:v>
      </x:c>
    </x:row>
    <x:row r="10" ht="18" customHeight="1">
      <x:c r="A10" s="78" t="str">
        <x:v>Moderate Margin Shock</x:v>
      </x:c>
      <x:c r="B10" s="82" t="n">
        <x:v>-0.01</x:v>
      </x:c>
      <x:c r="C10" s="78"/>
      <x:c r="D10" s="78"/>
      <x:c r="E10" s="78"/>
      <x:c r="F10" s="78"/>
      <x:c r="G10" s="78"/>
      <x:c r="H10" s="78"/>
      <x:c r="I10" s="78"/>
    </x:row>
    <x:row r="11" ht="18" customHeight="1">
      <x:c r="A11" s="78"/>
      <x:c r="B11" s="78"/>
      <x:c r="C11" s="78"/>
      <x:c r="D11" s="14" t="str">
        <x:v>Cash Flow &amp; Liquidity</x:v>
      </x:c>
      <x:c r="E11" s="78"/>
      <x:c r="F11" s="78"/>
      <x:c r="G11" s="78"/>
      <x:c r="H11" s="78"/>
      <x:c r="I11" s="78"/>
    </x:row>
    <x:row r="12" ht="18" customHeight="1">
      <x:c r="A12" s="78"/>
      <x:c r="B12" s="78"/>
      <x:c r="C12" s="78"/>
      <x:c r="D12" s="34" t="str">
        <x:v>Scenario</x:v>
      </x:c>
      <x:c r="E12" s="34" t="str">
        <x:v>Operating Cash Flow</x:v>
      </x:c>
      <x:c r="F12" s="34" t="str">
        <x:v>Capex</x:v>
      </x:c>
      <x:c r="G12" s="34" t="str">
        <x:v>FCF After New Interest</x:v>
      </x:c>
      <x:c r="H12" s="34" t="str">
        <x:v>Committed Liquidity</x:v>
      </x:c>
      <x:c r="I12" s="34" t="str">
        <x:v>Comment</x:v>
      </x:c>
    </x:row>
    <x:row r="13" ht="18" customHeight="1">
      <x:c r="A13" s="78"/>
      <x:c r="B13" s="78"/>
      <x:c r="C13" s="78"/>
      <x:c r="D13" s="78" t="str">
        <x:v>Current</x:v>
      </x:c>
      <x:c r="E13" s="81" t="n">
        <x:f>'Historical Financials'!D10</x:f>
        <x:v>16.325</x:v>
      </x:c>
      <x:c r="F13" s="81" t="n">
        <x:f>'Historical Financials'!D11</x:f>
        <x:v>3.679</x:v>
      </x:c>
      <x:c r="G13" s="81" t="n">
        <x:f>'Historical Financials'!D12</x:f>
        <x:v>12.645999999999999</x:v>
      </x:c>
      <x:c r="H13" s="81" t="n">
        <x:f>'Capital Structure'!B11+'Capital Structure'!E7</x:f>
        <x:v>12.389</x:v>
      </x:c>
      <x:c r="I13" s="78" t="str">
        <x:v>Existing balance sheet</x:v>
      </x:c>
    </x:row>
    <x:row r="14" ht="18" customHeight="1">
      <x:c r="A14" s="78"/>
      <x:c r="B14" s="78"/>
      <x:c r="C14" s="78"/>
      <x:c r="D14" s="78" t="str">
        <x:v>Base + $3B</x:v>
      </x:c>
      <x:c r="E14" s="99" t="n">
        <x:f>E13</x:f>
        <x:v>16.325</x:v>
      </x:c>
      <x:c r="F14" s="99" t="n">
        <x:f>F13</x:f>
        <x:v>3.679</x:v>
      </x:c>
      <x:c r="G14" s="99" t="n">
        <x:f>E14-F14-$B$8</x:f>
        <x:v>12.466</x:v>
      </x:c>
      <x:c r="H14" s="99" t="n">
        <x:f>H13</x:f>
        <x:v>12.389</x:v>
      </x:c>
      <x:c r="I14" s="78" t="str">
        <x:v>Proceeds assumed deployed</x:v>
      </x:c>
    </x:row>
    <x:row r="15" ht="18" customHeight="1">
      <x:c r="A15" s="78"/>
      <x:c r="B15" s="78"/>
      <x:c r="C15" s="78"/>
      <x:c r="D15" s="78" t="str">
        <x:v>Moderate Downside + $3B</x:v>
      </x:c>
      <x:c r="E15" s="99" t="n">
        <x:f>F8*('Historical Financials'!D10/'Historical Financials'!D8)</x:f>
        <x:v>14.487588320638919</x:v>
      </x:c>
      <x:c r="F15" s="99" t="n">
        <x:f>F13</x:f>
        <x:v>3.679</x:v>
      </x:c>
      <x:c r="G15" s="99" t="n">
        <x:f>E15-F15-$B$8</x:f>
        <x:v>10.628588320638919</x:v>
      </x:c>
      <x:c r="H15" s="99" t="n">
        <x:f>H13</x:f>
        <x:v>12.389</x:v>
      </x:c>
      <x:c r="I15" s="78" t="str">
        <x:v>Underwritten downside</x:v>
      </x:c>
    </x:row>
    <x:row r="16" ht="18" customHeight="1">
      <x:c r="A16" s="78"/>
      <x:c r="B16" s="78"/>
      <x:c r="C16" s="78"/>
      <x:c r="D16" s="78" t="str">
        <x:v>Severe Downside + $3B</x:v>
      </x:c>
      <x:c r="E16" s="99" t="n">
        <x:f>F9*('Historical Financials'!D10/'Historical Financials'!D8)</x:f>
        <x:v>12.757667344368478</x:v>
      </x:c>
      <x:c r="F16" s="99" t="n">
        <x:f>F13</x:f>
        <x:v>3.679</x:v>
      </x:c>
      <x:c r="G16" s="99" t="n">
        <x:f>E16-F16-$B$8</x:f>
        <x:v>8.898667344368478</x:v>
      </x:c>
      <x:c r="H16" s="99" t="n">
        <x:f>H13</x:f>
        <x:v>12.389</x:v>
      </x:c>
      <x:c r="I16" s="78" t="str">
        <x:v>Stress case</x:v>
      </x:c>
    </x:row>
    <x:row r="17" ht="18" customHeight="1">
      <x:c r="A17" s="78"/>
      <x:c r="B17" s="78"/>
      <x:c r="C17" s="78"/>
      <x:c r="D17" s="78"/>
      <x:c r="E17" s="78"/>
      <x:c r="F17" s="78"/>
      <x:c r="G17" s="78"/>
      <x:c r="H17" s="78"/>
      <x:c r="I17" s="78"/>
    </x:row>
    <x:row r="18" ht="18" customHeight="1">
      <x:c r="A18" s="78"/>
      <x:c r="B18" s="78"/>
      <x:c r="C18" s="78"/>
      <x:c r="D18" s="78"/>
      <x:c r="E18" s="78"/>
      <x:c r="F18" s="78"/>
      <x:c r="G18" s="78"/>
      <x:c r="H18" s="78"/>
      <x:c r="I18" s="78"/>
    </x:row>
    <x:row r="19" ht="18" customHeight="1">
      <x:c r="A19" s="78"/>
      <x:c r="B19" s="78"/>
      <x:c r="C19" s="78"/>
      <x:c r="D19" s="78"/>
      <x:c r="E19" s="78"/>
      <x:c r="F19" s="78"/>
      <x:c r="G19" s="78"/>
      <x:c r="H19" s="78"/>
      <x:c r="I19" s="78"/>
    </x:row>
    <x:row r="20" ht="18" customHeight="1">
      <x:c r="A20" s="78"/>
      <x:c r="B20" s="78"/>
      <x:c r="C20" s="78"/>
      <x:c r="D20" s="78"/>
      <x:c r="E20" s="78"/>
      <x:c r="F20" s="78"/>
      <x:c r="G20" s="78"/>
      <x:c r="H20" s="78"/>
      <x:c r="I20" s="78"/>
    </x:row>
    <x:row r="21" ht="18" customHeight="1">
      <x:c r="A21" s="78"/>
      <x:c r="B21" s="78"/>
      <x:c r="C21" s="78"/>
      <x:c r="D21" s="78"/>
      <x:c r="E21" s="78"/>
      <x:c r="F21" s="78"/>
      <x:c r="G21" s="78"/>
      <x:c r="H21" s="78"/>
      <x:c r="I21" s="78"/>
    </x:row>
    <x:row r="22" ht="18" customHeight="1">
      <x:c r="A22" s="78"/>
      <x:c r="B22" s="78"/>
      <x:c r="C22" s="78"/>
      <x:c r="D22" s="78"/>
      <x:c r="E22" s="78"/>
      <x:c r="F22" s="78"/>
      <x:c r="G22" s="78"/>
      <x:c r="H22" s="78"/>
      <x:c r="I22" s="78"/>
    </x:row>
    <x:row r="23" ht="18" customHeight="1">
      <x:c r="A23" s="78"/>
      <x:c r="B23" s="78"/>
      <x:c r="C23" s="78"/>
      <x:c r="D23" s="78"/>
      <x:c r="E23" s="78"/>
      <x:c r="F23" s="78"/>
      <x:c r="G23" s="78"/>
      <x:c r="H23" s="78"/>
      <x:c r="I23" s="78"/>
    </x:row>
    <x:row r="24" ht="18" customHeight="1">
      <x:c r="A24" s="78"/>
      <x:c r="B24" s="78"/>
      <x:c r="C24" s="78"/>
      <x:c r="D24" s="78"/>
      <x:c r="E24" s="78"/>
      <x:c r="F24" s="78"/>
      <x:c r="G24" s="78"/>
      <x:c r="H24" s="78"/>
      <x:c r="I24" s="78"/>
    </x:row>
    <x:row r="25" ht="18" customHeight="1">
      <x:c r="A25" s="78"/>
      <x:c r="B25" s="78"/>
      <x:c r="C25" s="78"/>
      <x:c r="D25" s="78"/>
      <x:c r="E25" s="78"/>
      <x:c r="F25" s="78"/>
      <x:c r="G25" s="78"/>
      <x:c r="H25" s="78"/>
      <x:c r="I25" s="78"/>
    </x:row>
    <x:row r="26" ht="18" customHeight="1">
      <x:c r="A26" s="78"/>
      <x:c r="B26" s="78"/>
      <x:c r="C26" s="78"/>
      <x:c r="D26" s="78"/>
      <x:c r="E26" s="78"/>
      <x:c r="F26" s="78"/>
      <x:c r="G26" s="78"/>
      <x:c r="H26" s="78"/>
      <x:c r="I26" s="78"/>
    </x:row>
    <x:row r="27" ht="18" customHeight="1">
      <x:c r="A27" s="78"/>
      <x:c r="B27" s="78"/>
      <x:c r="C27" s="78"/>
      <x:c r="D27" s="78"/>
      <x:c r="E27" s="78"/>
      <x:c r="F27" s="78"/>
      <x:c r="G27" s="78"/>
      <x:c r="H27" s="78"/>
      <x:c r="I27" s="78"/>
    </x:row>
    <x:row r="28" ht="18" customHeight="1">
      <x:c r="A28" s="78"/>
      <x:c r="B28" s="78"/>
      <x:c r="C28" s="78"/>
      <x:c r="D28" s="78"/>
      <x:c r="E28" s="78"/>
      <x:c r="F28" s="78"/>
      <x:c r="G28" s="78"/>
      <x:c r="H28" s="78"/>
      <x:c r="I28" s="78"/>
    </x:row>
    <x:row r="29" ht="18" customHeight="1">
      <x:c r="A29" s="78"/>
      <x:c r="B29" s="78"/>
      <x:c r="C29" s="78"/>
      <x:c r="D29" s="78"/>
      <x:c r="E29" s="78"/>
      <x:c r="F29" s="78"/>
      <x:c r="G29" s="78"/>
      <x:c r="H29" s="78"/>
      <x:c r="I29" s="78"/>
    </x:row>
    <x:row r="30" ht="18" customHeight="1">
      <x:c r="A30" s="78"/>
      <x:c r="B30" s="78"/>
      <x:c r="C30" s="78"/>
      <x:c r="D30" s="78"/>
      <x:c r="E30" s="78"/>
      <x:c r="F30" s="78"/>
      <x:c r="G30" s="78"/>
      <x:c r="H30" s="78"/>
      <x:c r="I30" s="78"/>
    </x:row>
    <x:row r="31" ht="18" customHeight="1">
      <x:c r="A31" s="78"/>
      <x:c r="B31" s="78"/>
      <x:c r="C31" s="78"/>
      <x:c r="D31" s="78"/>
      <x:c r="E31" s="78"/>
      <x:c r="F31" s="78"/>
      <x:c r="G31" s="78"/>
      <x:c r="H31" s="78"/>
      <x:c r="I31" s="78"/>
    </x:row>
    <x:row r="32" ht="18" customHeight="1">
      <x:c r="A32" s="78"/>
      <x:c r="B32" s="78"/>
      <x:c r="C32" s="78"/>
      <x:c r="D32" s="78"/>
      <x:c r="E32" s="78"/>
      <x:c r="F32" s="78"/>
      <x:c r="G32" s="78"/>
      <x:c r="H32" s="78"/>
      <x:c r="I32" s="78"/>
    </x:row>
    <x:row r="33" ht="18" customHeight="1">
      <x:c r="A33" s="78"/>
      <x:c r="B33" s="78"/>
      <x:c r="C33" s="78"/>
      <x:c r="D33" s="78"/>
      <x:c r="E33" s="78"/>
      <x:c r="F33" s="78"/>
      <x:c r="G33" s="78"/>
      <x:c r="H33" s="78"/>
      <x:c r="I33" s="78"/>
    </x:row>
    <x:row r="34" ht="18" customHeight="1">
      <x:c r="A34" s="78"/>
      <x:c r="B34" s="78"/>
      <x:c r="C34" s="78"/>
      <x:c r="D34" s="78"/>
      <x:c r="E34" s="78"/>
      <x:c r="F34" s="78"/>
      <x:c r="G34" s="78"/>
      <x:c r="H34" s="78"/>
      <x:c r="I34" s="78"/>
    </x:row>
    <x:row r="35" ht="18" customHeight="1">
      <x:c r="A35" s="78"/>
      <x:c r="B35" s="78"/>
      <x:c r="C35" s="78"/>
      <x:c r="D35" s="78"/>
      <x:c r="E35" s="78"/>
      <x:c r="F35" s="78"/>
      <x:c r="G35" s="78"/>
      <x:c r="H35" s="78"/>
      <x:c r="I35" s="78"/>
    </x:row>
    <x:row r="36" ht="18" customHeight="1">
      <x:c r="A36" s="78"/>
      <x:c r="B36" s="78"/>
      <x:c r="C36" s="78"/>
      <x:c r="D36" s="78"/>
      <x:c r="E36" s="78"/>
      <x:c r="F36" s="78"/>
      <x:c r="G36" s="78"/>
      <x:c r="H36" s="78"/>
      <x:c r="I36" s="78"/>
    </x:row>
    <x:row r="37" ht="18" customHeight="1">
      <x:c r="A37" s="78"/>
      <x:c r="B37" s="78"/>
      <x:c r="C37" s="78"/>
      <x:c r="D37" s="78"/>
      <x:c r="E37" s="78"/>
      <x:c r="F37" s="78"/>
      <x:c r="G37" s="78"/>
      <x:c r="H37" s="78"/>
      <x:c r="I37" s="78"/>
    </x:row>
    <x:row r="38" ht="18" customHeight="1">
      <x:c r="A38" s="78"/>
      <x:c r="B38" s="78"/>
      <x:c r="C38" s="78"/>
      <x:c r="D38" s="78"/>
      <x:c r="E38" s="78"/>
      <x:c r="F38" s="78"/>
      <x:c r="G38" s="78"/>
      <x:c r="H38" s="78"/>
      <x:c r="I38" s="78"/>
    </x:row>
    <x:row r="39" ht="18" customHeight="1">
      <x:c r="A39" s="78"/>
      <x:c r="B39" s="78"/>
      <x:c r="C39" s="78"/>
      <x:c r="D39" s="78"/>
      <x:c r="E39" s="78"/>
      <x:c r="F39" s="78"/>
      <x:c r="G39" s="78"/>
      <x:c r="H39" s="78"/>
      <x:c r="I39" s="78"/>
    </x:row>
    <x:row r="40" ht="18" customHeight="1">
      <x:c r="A40" s="78"/>
      <x:c r="B40" s="78"/>
      <x:c r="C40" s="78"/>
      <x:c r="D40" s="78"/>
      <x:c r="E40" s="78"/>
      <x:c r="F40" s="78"/>
      <x:c r="G40" s="78"/>
      <x:c r="H40" s="78"/>
      <x:c r="I40" s="78"/>
    </x:row>
  </x:sheetData>
  <x:mergeCells>
    <x:mergeCell ref="A1:I2"/>
    <x:mergeCell ref="A4:C4"/>
    <x:mergeCell ref="D4:I4"/>
    <x:mergeCell ref="D11:I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" hidden="0" customWidth="1"/>
    <x:col min="4" max="4" width="26" hidden="0" customWidth="1"/>
    <x:col min="5" max="5" width="18" hidden="0" customWidth="1"/>
    <x:col min="6" max="6" width="18" hidden="0" customWidth="1"/>
  </x:cols>
  <x:sheetData>
    <x:row r="1" ht="18" customHeight="1">
      <x:c r="A1" s="5" t="str">
        <x:v>Incremental Debt Capacity</x:v>
      </x:c>
      <x:c r="B1" s="78"/>
      <x:c r="C1" s="78"/>
      <x:c r="D1" s="78"/>
      <x:c r="E1" s="78"/>
      <x:c r="F1" s="78"/>
      <x:c r="G1" s="78"/>
      <x:c r="H1" s="78"/>
      <x:c r="I1" s="78"/>
    </x:row>
    <x:row r="2" ht="18" customHeight="1">
      <x:c r="A2" s="78"/>
      <x:c r="B2" s="78"/>
      <x:c r="C2" s="78"/>
      <x:c r="D2" s="78"/>
      <x:c r="E2" s="78"/>
      <x:c r="F2" s="78"/>
      <x:c r="G2" s="78"/>
      <x:c r="H2" s="78"/>
      <x:c r="I2" s="78"/>
    </x:row>
    <x:row r="3" ht="18" customHeight="1">
      <x:c r="A3" s="78"/>
      <x:c r="B3" s="78"/>
      <x:c r="C3" s="78"/>
      <x:c r="D3" s="78"/>
      <x:c r="E3" s="78"/>
      <x:c r="F3" s="78"/>
      <x:c r="G3" s="78"/>
      <x:c r="H3" s="78"/>
      <x:c r="I3" s="78"/>
    </x:row>
    <x:row r="4" ht="18" customHeight="1">
      <x:c r="A4" s="14" t="str">
        <x:v>Illustrative Underwriting Guardrails</x:v>
      </x:c>
      <x:c r="B4" s="78"/>
      <x:c r="C4" s="78"/>
      <x:c r="D4" s="14" t="str">
        <x:v>Capacity by Scenario</x:v>
      </x:c>
      <x:c r="E4" s="78"/>
      <x:c r="F4" s="78"/>
      <x:c r="G4" s="78"/>
      <x:c r="H4" s="78"/>
      <x:c r="I4" s="78"/>
    </x:row>
    <x:row r="5" ht="18" customHeight="1">
      <x:c r="A5" s="34" t="str">
        <x:v>Guardrail</x:v>
      </x:c>
      <x:c r="B5" s="34" t="str">
        <x:v>Threshold</x:v>
      </x:c>
      <x:c r="C5" s="78"/>
      <x:c r="D5" s="34" t="str">
        <x:v>Scenario</x:v>
      </x:c>
      <x:c r="E5" s="34" t="str">
        <x:v>Leverage Capacity</x:v>
      </x:c>
      <x:c r="F5" s="34" t="str">
        <x:v>Coverage Capacity</x:v>
      </x:c>
      <x:c r="G5" s="78"/>
      <x:c r="H5" s="78"/>
      <x:c r="I5" s="78"/>
    </x:row>
    <x:row r="6" ht="18" customHeight="1">
      <x:c r="A6" s="78" t="str">
        <x:v>Maximum Debt / EBITDA</x:v>
      </x:c>
      <x:c r="B6" s="108" t="n">
        <x:v>2.75</x:v>
      </x:c>
      <x:c r="C6" s="78"/>
      <x:c r="D6" s="78" t="str">
        <x:v>Base</x:v>
      </x:c>
      <x:c r="E6" s="99" t="n">
        <x:f>MAX(0,$B$6*'Financing Scenario'!F7-'Capital Structure'!B12)</x:f>
        <x:v>13.008250000000011</x:v>
      </x:c>
      <x:c r="F6" s="99" t="n">
        <x:f>MAX(0,(('Historical Financials'!D6/$B$7)-'Historical Financials'!D9)/'Financing Scenario'!$B$7)</x:f>
        <x:v>29.433333333333334</x:v>
      </x:c>
      <x:c r="G6" s="78"/>
      <x:c r="H6" s="78"/>
      <x:c r="I6" s="78"/>
    </x:row>
    <x:row r="7" ht="18" customHeight="1">
      <x:c r="A7" s="78" t="str">
        <x:v>Minimum Interest Coverage</x:v>
      </x:c>
      <x:c r="B7" s="108" t="n">
        <x:v>5</x:v>
      </x:c>
      <x:c r="C7" s="78"/>
      <x:c r="D7" s="78" t="str">
        <x:v>Moderate Downside</x:v>
      </x:c>
      <x:c r="E7" s="99" t="n">
        <x:f>MAX(0,$B$6*'Financing Scenario'!F8-'Capital Structure'!B12)</x:f>
        <x:v>5.266894125000007</x:v>
      </x:c>
      <x:c r="F7" s="99" t="n">
        <x:f>MAX(0,((('Financing Scenario'!E8*(('Historical Financials'!D6/'Historical Financials'!D5)+'Financing Scenario'!$B$10))/$B$7)-'Historical Financials'!D9)/'Financing Scenario'!$B$7)</x:f>
        <x:v>20.736705000000008</x:v>
      </x:c>
      <x:c r="G7" s="78"/>
      <x:c r="H7" s="78"/>
      <x:c r="I7" s="78"/>
    </x:row>
    <x:row r="8" ht="18" customHeight="1">
      <x:c r="A8" s="78" t="str">
        <x:v>Minimum Committed Liquidity</x:v>
      </x:c>
      <x:c r="B8" s="80" t="n">
        <x:v>8</x:v>
      </x:c>
      <x:c r="C8" s="78"/>
      <x:c r="D8" s="78" t="str">
        <x:v>Severe Downside</x:v>
      </x:c>
      <x:c r="E8" s="99" t="n">
        <x:f>MAX(0,$B$6*'Financing Scenario'!F9-'Capital Structure'!B12)</x:f>
        <x:v>0</x:v>
      </x:c>
      <x:c r="F8" s="99" t="n">
        <x:f>MAX(0,((('Financing Scenario'!E9*(('Historical Financials'!D6/'Historical Financials'!D5)-2%))/$B$7)-'Historical Financials'!D9)/'Financing Scenario'!$B$7)</x:f>
        <x:v>12.589020000000003</x:v>
      </x:c>
      <x:c r="G8" s="78"/>
      <x:c r="H8" s="78"/>
      <x:c r="I8" s="78"/>
    </x:row>
    <x:row r="9" ht="18" customHeight="1">
      <x:c r="A9" s="78" t="str">
        <x:v>Transaction Size Requested</x:v>
      </x:c>
      <x:c r="B9" s="80" t="n">
        <x:v>3</x:v>
      </x:c>
      <x:c r="C9" s="78"/>
      <x:c r="D9" s="78" t="str">
        <x:v>Recommended Capacity (Moderate)</x:v>
      </x:c>
      <x:c r="E9" s="99" t="n">
        <x:f>MIN(E7,F7)</x:f>
        <x:v>5.266894125000007</x:v>
      </x:c>
      <x:c r="F9" s="99" t="n">
        <x:f>E9-$B$9</x:f>
        <x:v>2.2668941250000074</x:v>
      </x:c>
      <x:c r="G9" s="78"/>
      <x:c r="H9" s="78"/>
      <x:c r="I9" s="78"/>
    </x:row>
    <x:row r="10" ht="18" customHeight="1">
      <x:c r="A10" s="78"/>
      <x:c r="B10" s="78"/>
      <x:c r="C10" s="78"/>
      <x:c r="D10" s="78"/>
      <x:c r="E10" s="78"/>
      <x:c r="F10" s="78"/>
      <x:c r="G10" s="78"/>
      <x:c r="H10" s="78"/>
      <x:c r="I10" s="78"/>
    </x:row>
    <x:row r="11" ht="18" customHeight="1">
      <x:c r="A11" s="14" t="str">
        <x:v>Decision</x:v>
      </x:c>
      <x:c r="B11" s="78"/>
      <x:c r="C11" s="78"/>
      <x:c r="D11" s="78"/>
      <x:c r="E11" s="78"/>
      <x:c r="F11" s="78"/>
      <x:c r="G11" s="78"/>
      <x:c r="H11" s="78"/>
      <x:c r="I11" s="78"/>
    </x:row>
    <x:row r="12" ht="18" customHeight="1">
      <x:c r="A12" s="78" t="str">
        <x:v>Requested Financing</x:v>
      </x:c>
      <x:c r="B12" s="98" t="n">
        <x:v>3</x:v>
      </x:c>
      <x:c r="C12" s="78"/>
      <x:c r="D12" s="78"/>
      <x:c r="E12" s="78"/>
      <x:c r="F12" s="78"/>
      <x:c r="G12" s="78"/>
      <x:c r="H12" s="78"/>
      <x:c r="I12" s="78"/>
    </x:row>
    <x:row r="13" ht="18" customHeight="1">
      <x:c r="A13" s="78" t="str">
        <x:v>Moderate Downside Capacity</x:v>
      </x:c>
      <x:c r="B13" s="81" t="n">
        <x:f>E9</x:f>
        <x:v>5.266894125000007</x:v>
      </x:c>
      <x:c r="C13" s="78"/>
      <x:c r="D13" s="78"/>
      <x:c r="E13" s="78"/>
      <x:c r="F13" s="78"/>
      <x:c r="G13" s="78"/>
      <x:c r="H13" s="78"/>
      <x:c r="I13" s="78"/>
    </x:row>
    <x:row r="14" ht="18" customHeight="1">
      <x:c r="A14" s="78" t="str">
        <x:v>Headroom vs. Requested</x:v>
      </x:c>
      <x:c r="B14" s="99" t="n">
        <x:f>B13-B12</x:f>
        <x:v>2.2668941250000074</x:v>
      </x:c>
      <x:c r="C14" s="78"/>
      <x:c r="D14" s="78"/>
      <x:c r="E14" s="78"/>
      <x:c r="F14" s="78"/>
      <x:c r="G14" s="78"/>
      <x:c r="H14" s="78"/>
      <x:c r="I14" s="78"/>
    </x:row>
    <x:row r="15" ht="18" customHeight="1">
      <x:c r="A15" s="78" t="str">
        <x:v>Severe Downside Leverage</x:v>
      </x:c>
      <x:c r="B15" s="83" t="n">
        <x:f>'Financing Scenario'!H9</x:f>
        <x:v>3.006916234779315</x:v>
      </x:c>
      <x:c r="C15" s="78"/>
      <x:c r="D15" s="78"/>
      <x:c r="E15" s="78"/>
      <x:c r="F15" s="78"/>
      <x:c r="G15" s="78"/>
      <x:c r="H15" s="78"/>
      <x:c r="I15" s="78"/>
    </x:row>
    <x:row r="16" ht="18" customHeight="1">
      <x:c r="A16" s="78" t="str">
        <x:v>Recommendation</x:v>
      </x:c>
      <x:c r="B16" s="84" t="str">
        <x:v>LEND WITH CONDITIONS</x:v>
      </x:c>
      <x:c r="C16" s="78"/>
      <x:c r="D16" s="78"/>
      <x:c r="E16" s="78"/>
      <x:c r="F16" s="78"/>
      <x:c r="G16" s="78"/>
      <x:c r="H16" s="78"/>
      <x:c r="I16" s="78"/>
    </x:row>
    <x:row r="17" ht="18" customHeight="1">
      <x:c r="A17" s="78"/>
      <x:c r="B17" s="78"/>
      <x:c r="C17" s="78"/>
      <x:c r="D17" s="78"/>
      <x:c r="E17" s="78"/>
      <x:c r="F17" s="78"/>
      <x:c r="G17" s="78"/>
      <x:c r="H17" s="78"/>
      <x:c r="I17" s="78"/>
    </x:row>
    <x:row r="18" ht="18" customHeight="1">
      <x:c r="A18" s="78"/>
      <x:c r="B18" s="78"/>
      <x:c r="C18" s="78"/>
      <x:c r="D18" s="78"/>
      <x:c r="E18" s="78"/>
      <x:c r="F18" s="78"/>
      <x:c r="G18" s="78"/>
      <x:c r="H18" s="78"/>
      <x:c r="I18" s="78"/>
    </x:row>
    <x:row r="19" ht="18" customHeight="1">
      <x:c r="A19" s="78"/>
      <x:c r="B19" s="78"/>
      <x:c r="C19" s="78"/>
      <x:c r="D19" s="78"/>
      <x:c r="E19" s="78"/>
      <x:c r="F19" s="78"/>
      <x:c r="G19" s="78"/>
      <x:c r="H19" s="78"/>
      <x:c r="I19" s="78"/>
    </x:row>
    <x:row r="20" ht="18" customHeight="1">
      <x:c r="A20" s="78"/>
      <x:c r="B20" s="78"/>
      <x:c r="C20" s="78"/>
      <x:c r="D20" s="78"/>
      <x:c r="E20" s="78"/>
      <x:c r="F20" s="78"/>
      <x:c r="G20" s="78"/>
      <x:c r="H20" s="78"/>
      <x:c r="I20" s="78"/>
    </x:row>
    <x:row r="21" ht="18" customHeight="1">
      <x:c r="A21" s="78"/>
      <x:c r="B21" s="78"/>
      <x:c r="C21" s="78"/>
      <x:c r="D21" s="78"/>
      <x:c r="E21" s="78"/>
      <x:c r="F21" s="78"/>
      <x:c r="G21" s="78"/>
      <x:c r="H21" s="78"/>
      <x:c r="I21" s="78"/>
    </x:row>
    <x:row r="22" ht="18" customHeight="1">
      <x:c r="A22" s="78"/>
      <x:c r="B22" s="78"/>
      <x:c r="C22" s="78"/>
      <x:c r="D22" s="78"/>
      <x:c r="E22" s="78"/>
      <x:c r="F22" s="78"/>
      <x:c r="G22" s="78"/>
      <x:c r="H22" s="78"/>
      <x:c r="I22" s="78"/>
    </x:row>
    <x:row r="23" ht="18" customHeight="1">
      <x:c r="A23" s="78"/>
      <x:c r="B23" s="78"/>
      <x:c r="C23" s="78"/>
      <x:c r="D23" s="78"/>
      <x:c r="E23" s="78"/>
      <x:c r="F23" s="78"/>
      <x:c r="G23" s="78"/>
      <x:c r="H23" s="78"/>
      <x:c r="I23" s="78"/>
    </x:row>
    <x:row r="24" ht="18" customHeight="1">
      <x:c r="A24" s="78"/>
      <x:c r="B24" s="78"/>
      <x:c r="C24" s="78"/>
      <x:c r="D24" s="78"/>
      <x:c r="E24" s="78"/>
      <x:c r="F24" s="78"/>
      <x:c r="G24" s="78"/>
      <x:c r="H24" s="78"/>
      <x:c r="I24" s="78"/>
    </x:row>
    <x:row r="25" ht="18" customHeight="1">
      <x:c r="A25" s="78"/>
      <x:c r="B25" s="78"/>
      <x:c r="C25" s="78"/>
      <x:c r="D25" s="78"/>
      <x:c r="E25" s="78"/>
      <x:c r="F25" s="78"/>
      <x:c r="G25" s="78"/>
      <x:c r="H25" s="78"/>
      <x:c r="I25" s="78"/>
    </x:row>
    <x:row r="26" ht="18" customHeight="1">
      <x:c r="A26" s="78"/>
      <x:c r="B26" s="78"/>
      <x:c r="C26" s="78"/>
      <x:c r="D26" s="78"/>
      <x:c r="E26" s="78"/>
      <x:c r="F26" s="78"/>
      <x:c r="G26" s="78"/>
      <x:c r="H26" s="78"/>
      <x:c r="I26" s="78"/>
    </x:row>
    <x:row r="27" ht="18" customHeight="1">
      <x:c r="A27" s="78"/>
      <x:c r="B27" s="78"/>
      <x:c r="C27" s="78"/>
      <x:c r="D27" s="78"/>
      <x:c r="E27" s="78"/>
      <x:c r="F27" s="78"/>
      <x:c r="G27" s="78"/>
      <x:c r="H27" s="78"/>
      <x:c r="I27" s="78"/>
    </x:row>
    <x:row r="28" ht="18" customHeight="1">
      <x:c r="A28" s="78"/>
      <x:c r="B28" s="78"/>
      <x:c r="C28" s="78"/>
      <x:c r="D28" s="78"/>
      <x:c r="E28" s="78"/>
      <x:c r="F28" s="78"/>
      <x:c r="G28" s="78"/>
      <x:c r="H28" s="78"/>
      <x:c r="I28" s="78"/>
    </x:row>
    <x:row r="29" ht="18" customHeight="1">
      <x:c r="A29" s="78"/>
      <x:c r="B29" s="78"/>
      <x:c r="C29" s="78"/>
      <x:c r="D29" s="78"/>
      <x:c r="E29" s="78"/>
      <x:c r="F29" s="78"/>
      <x:c r="G29" s="78"/>
      <x:c r="H29" s="78"/>
      <x:c r="I29" s="78"/>
    </x:row>
    <x:row r="30" ht="18" customHeight="1">
      <x:c r="A30" s="78"/>
      <x:c r="B30" s="78"/>
      <x:c r="C30" s="78"/>
      <x:c r="D30" s="78"/>
      <x:c r="E30" s="78"/>
      <x:c r="F30" s="78"/>
      <x:c r="G30" s="78"/>
      <x:c r="H30" s="78"/>
      <x:c r="I30" s="78"/>
    </x:row>
    <x:row r="31" ht="18" customHeight="1">
      <x:c r="A31" s="78"/>
      <x:c r="B31" s="78"/>
      <x:c r="C31" s="78"/>
      <x:c r="D31" s="78"/>
      <x:c r="E31" s="78"/>
      <x:c r="F31" s="78"/>
      <x:c r="G31" s="78"/>
      <x:c r="H31" s="78"/>
      <x:c r="I31" s="78"/>
    </x:row>
    <x:row r="32" ht="18" customHeight="1">
      <x:c r="A32" s="78"/>
      <x:c r="B32" s="78"/>
      <x:c r="C32" s="78"/>
      <x:c r="D32" s="78"/>
      <x:c r="E32" s="78"/>
      <x:c r="F32" s="78"/>
      <x:c r="G32" s="78"/>
      <x:c r="H32" s="78"/>
      <x:c r="I32" s="78"/>
    </x:row>
    <x:row r="33" ht="18" customHeight="1">
      <x:c r="A33" s="78"/>
      <x:c r="B33" s="78"/>
      <x:c r="C33" s="78"/>
      <x:c r="D33" s="78"/>
      <x:c r="E33" s="78"/>
      <x:c r="F33" s="78"/>
      <x:c r="G33" s="78"/>
      <x:c r="H33" s="78"/>
      <x:c r="I33" s="78"/>
    </x:row>
    <x:row r="34" ht="18" customHeight="1">
      <x:c r="A34" s="78"/>
      <x:c r="B34" s="78"/>
      <x:c r="C34" s="78"/>
      <x:c r="D34" s="78"/>
      <x:c r="E34" s="78"/>
      <x:c r="F34" s="78"/>
      <x:c r="G34" s="78"/>
      <x:c r="H34" s="78"/>
      <x:c r="I34" s="78"/>
    </x:row>
    <x:row r="35" ht="18" customHeight="1">
      <x:c r="A35" s="78"/>
      <x:c r="B35" s="78"/>
      <x:c r="C35" s="78"/>
      <x:c r="D35" s="78"/>
      <x:c r="E35" s="78"/>
      <x:c r="F35" s="78"/>
      <x:c r="G35" s="78"/>
      <x:c r="H35" s="78"/>
      <x:c r="I35" s="78"/>
    </x:row>
    <x:row r="36" ht="18" customHeight="1">
      <x:c r="A36" s="78"/>
      <x:c r="B36" s="78"/>
      <x:c r="C36" s="78"/>
      <x:c r="D36" s="78"/>
      <x:c r="E36" s="78"/>
      <x:c r="F36" s="78"/>
      <x:c r="G36" s="78"/>
      <x:c r="H36" s="78"/>
      <x:c r="I36" s="78"/>
    </x:row>
    <x:row r="37" ht="18" customHeight="1">
      <x:c r="A37" s="78"/>
      <x:c r="B37" s="78"/>
      <x:c r="C37" s="78"/>
      <x:c r="D37" s="78"/>
      <x:c r="E37" s="78"/>
      <x:c r="F37" s="78"/>
      <x:c r="G37" s="78"/>
      <x:c r="H37" s="78"/>
      <x:c r="I37" s="78"/>
    </x:row>
    <x:row r="38" ht="18" customHeight="1">
      <x:c r="A38" s="78"/>
      <x:c r="B38" s="78"/>
      <x:c r="C38" s="78"/>
      <x:c r="D38" s="78"/>
      <x:c r="E38" s="78"/>
      <x:c r="F38" s="78"/>
      <x:c r="G38" s="78"/>
      <x:c r="H38" s="78"/>
      <x:c r="I38" s="78"/>
    </x:row>
    <x:row r="39" ht="18" customHeight="1">
      <x:c r="A39" s="78"/>
      <x:c r="B39" s="78"/>
      <x:c r="C39" s="78"/>
      <x:c r="D39" s="78"/>
      <x:c r="E39" s="78"/>
      <x:c r="F39" s="78"/>
      <x:c r="G39" s="78"/>
      <x:c r="H39" s="78"/>
      <x:c r="I39" s="78"/>
    </x:row>
    <x:row r="40" ht="18" customHeight="1">
      <x:c r="A40" s="78"/>
      <x:c r="B40" s="78"/>
      <x:c r="C40" s="78"/>
      <x:c r="D40" s="78"/>
      <x:c r="E40" s="78"/>
      <x:c r="F40" s="78"/>
      <x:c r="G40" s="78"/>
      <x:c r="H40" s="78"/>
      <x:c r="I40" s="78"/>
    </x:row>
  </x:sheetData>
  <x:mergeCells>
    <x:mergeCell ref="A1:F2"/>
    <x:mergeCell ref="A4:B4"/>
    <x:mergeCell ref="D4:F4"/>
    <x:mergeCell ref="A11:F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4" hidden="0" customWidth="1"/>
    <x:col min="6" max="6" width="32" hidden="0" customWidth="1"/>
  </x:cols>
  <x:sheetData>
    <x:row r="1" ht="18" customHeight="1">
      <x:c r="A1" s="5" t="str">
        <x:v>Peer Credit Comparison</x:v>
      </x:c>
      <x:c r="B1" s="78"/>
      <x:c r="C1" s="78"/>
      <x:c r="D1" s="78"/>
      <x:c r="E1" s="78"/>
      <x:c r="F1" s="78"/>
      <x:c r="G1" s="78"/>
      <x:c r="H1" s="78"/>
      <x:c r="I1" s="78"/>
    </x:row>
    <x:row r="2" ht="18" customHeight="1">
      <x:c r="A2" s="78"/>
      <x:c r="B2" s="78"/>
      <x:c r="C2" s="78"/>
      <x:c r="D2" s="78"/>
      <x:c r="E2" s="78"/>
      <x:c r="F2" s="78"/>
      <x:c r="G2" s="78"/>
      <x:c r="H2" s="78"/>
      <x:c r="I2" s="78"/>
    </x:row>
    <x:row r="3" ht="18" customHeight="1">
      <x:c r="A3" s="78"/>
      <x:c r="B3" s="78"/>
      <x:c r="C3" s="78"/>
      <x:c r="D3" s="78"/>
      <x:c r="E3" s="78"/>
      <x:c r="F3" s="78"/>
      <x:c r="G3" s="78"/>
      <x:c r="H3" s="78"/>
      <x:c r="I3" s="78"/>
    </x:row>
    <x:row r="4" ht="18" customHeight="1">
      <x:c r="A4" s="34" t="str">
        <x:v>Company</x:v>
      </x:c>
      <x:c r="B4" s="34" t="str">
        <x:v>Project Credit Score</x:v>
      </x:c>
      <x:c r="C4" s="34" t="str">
        <x:v>Debt / EBITDA</x:v>
      </x:c>
      <x:c r="D4" s="34" t="str">
        <x:v>Interest Coverage</x:v>
      </x:c>
      <x:c r="E4" s="34" t="str">
        <x:v>FCF ($B)</x:v>
      </x:c>
      <x:c r="F4" s="34" t="str">
        <x:v>Relative View</x:v>
      </x:c>
      <x:c r="G4" s="78"/>
      <x:c r="H4" s="78"/>
      <x:c r="I4" s="78"/>
    </x:row>
    <x:row r="5" ht="18" customHeight="1">
      <x:c r="A5" s="78" t="str">
        <x:v>Costco</x:v>
      </x:c>
      <x:c r="B5" s="110" t="n">
        <x:v>4.33</x:v>
      </x:c>
      <x:c r="C5" s="100" t="n">
        <x:v>0.45</x:v>
      </x:c>
      <x:c r="D5" s="100" t="n">
        <x:v>67.42</x:v>
      </x:c>
      <x:c r="E5" s="98" t="n">
        <x:v>7.84</x:v>
      </x:c>
      <x:c r="F5" s="106" t="str">
        <x:v>Strongest</x:v>
      </x:c>
      <x:c r="G5" s="78"/>
      <x:c r="H5" s="78"/>
      <x:c r="I5" s="78"/>
    </x:row>
    <x:row r="6" ht="18" customHeight="1">
      <x:c r="A6" s="78" t="str">
        <x:v>Walmart</x:v>
      </x:c>
      <x:c r="B6" s="110" t="n">
        <x:v>3.8</x:v>
      </x:c>
      <x:c r="C6" s="100" t="n">
        <x:v>0.87</x:v>
      </x:c>
      <x:c r="D6" s="100" t="n">
        <x:v>12.87</x:v>
      </x:c>
      <x:c r="E6" s="98" t="n">
        <x:v>14.92</x:v>
      </x:c>
      <x:c r="F6" s="106" t="str">
        <x:v>Strong</x:v>
      </x:c>
      <x:c r="G6" s="78"/>
      <x:c r="H6" s="78"/>
      <x:c r="I6" s="78"/>
    </x:row>
    <x:row r="7" ht="18" customHeight="1">
      <x:c r="A7" s="78" t="str">
        <x:v>Home Depot</x:v>
      </x:c>
      <x:c r="B7" s="110" t="n">
        <x:v>3.58</x:v>
      </x:c>
      <x:c r="C7" s="100" t="n">
        <x:v>2.04</x:v>
      </x:c>
      <x:c r="D7" s="100" t="n">
        <x:v>8.66</x:v>
      </x:c>
      <x:c r="E7" s="98" t="n">
        <x:v>12.65</x:v>
      </x:c>
      <x:c r="F7" s="106" t="str">
        <x:v>Strong cash flow; higher leverage</x:v>
      </x:c>
      <x:c r="G7" s="78"/>
      <x:c r="H7" s="78"/>
      <x:c r="I7" s="78"/>
    </x:row>
    <x:row r="8" ht="18" customHeight="1">
      <x:c r="A8" s="78" t="str">
        <x:v>Target</x:v>
      </x:c>
      <x:c r="B8" s="110" t="n">
        <x:v>3.28</x:v>
      </x:c>
      <x:c r="C8" s="100" t="n">
        <x:v>1.86</x:v>
      </x:c>
      <x:c r="D8" s="100" t="n">
        <x:v>11.5</x:v>
      </x:c>
      <x:c r="E8" s="98" t="n">
        <x:v>2.84</x:v>
      </x:c>
      <x:c r="F8" s="106" t="str">
        <x:v>Moderate</x:v>
      </x:c>
      <x:c r="G8" s="78"/>
      <x:c r="H8" s="78"/>
      <x:c r="I8" s="78"/>
    </x:row>
    <x:row r="9" ht="18" customHeight="1">
      <x:c r="A9" s="78" t="str">
        <x:v>Lowe's</x:v>
      </x:c>
      <x:c r="B9" s="110" t="n">
        <x:v>2.86</x:v>
      </x:c>
      <x:c r="C9" s="100" t="n">
        <x:v>3.29</x:v>
      </x:c>
      <x:c r="D9" s="100" t="n">
        <x:v>6.83</x:v>
      </x:c>
      <x:c r="E9" s="98" t="n">
        <x:v>7.65</x:v>
      </x:c>
      <x:c r="F9" s="106" t="str">
        <x:v>Higher leverage</x:v>
      </x:c>
      <x:c r="G9" s="78"/>
      <x:c r="H9" s="78"/>
      <x:c r="I9" s="78"/>
    </x:row>
    <x:row r="10" ht="18" customHeight="1">
      <x:c r="A10" s="78"/>
      <x:c r="B10" s="78"/>
      <x:c r="C10" s="78"/>
      <x:c r="D10" s="78"/>
      <x:c r="E10" s="78"/>
      <x:c r="F10" s="78"/>
      <x:c r="G10" s="78"/>
      <x:c r="H10" s="78"/>
      <x:c r="I10" s="78"/>
    </x:row>
    <x:row r="11" ht="18" customHeight="1">
      <x:c r="A11" s="111" t="str">
        <x:v>Peer metrics are from the existing project-wide normalized credit model. The borrower-specific case uses funded debt including commercial paper for underwriting.</x:v>
      </x:c>
      <x:c r="B11" s="78"/>
      <x:c r="C11" s="78"/>
      <x:c r="D11" s="78"/>
      <x:c r="E11" s="78"/>
      <x:c r="F11" s="78"/>
      <x:c r="G11" s="78"/>
      <x:c r="H11" s="78"/>
      <x:c r="I11" s="78"/>
    </x:row>
    <x:row r="12" ht="18" customHeight="1">
      <x:c r="A12" s="78"/>
      <x:c r="B12" s="78"/>
      <x:c r="C12" s="78"/>
      <x:c r="D12" s="78"/>
      <x:c r="E12" s="78"/>
      <x:c r="F12" s="78"/>
      <x:c r="G12" s="78"/>
      <x:c r="H12" s="78"/>
      <x:c r="I12" s="78"/>
    </x:row>
    <x:row r="13" ht="18" customHeight="1">
      <x:c r="A13" s="78"/>
      <x:c r="B13" s="78"/>
      <x:c r="C13" s="78"/>
      <x:c r="D13" s="78"/>
      <x:c r="E13" s="78"/>
      <x:c r="F13" s="78"/>
      <x:c r="G13" s="78"/>
      <x:c r="H13" s="78"/>
      <x:c r="I13" s="78"/>
    </x:row>
    <x:row r="14" ht="18" customHeight="1">
      <x:c r="A14" s="78"/>
      <x:c r="B14" s="78"/>
      <x:c r="C14" s="78"/>
      <x:c r="D14" s="78"/>
      <x:c r="E14" s="78"/>
      <x:c r="F14" s="78"/>
      <x:c r="G14" s="78"/>
      <x:c r="H14" s="78"/>
      <x:c r="I14" s="78"/>
    </x:row>
    <x:row r="15" ht="18" customHeight="1">
      <x:c r="A15" s="78"/>
      <x:c r="B15" s="78"/>
      <x:c r="C15" s="78"/>
      <x:c r="D15" s="78"/>
      <x:c r="E15" s="78"/>
      <x:c r="F15" s="78"/>
      <x:c r="G15" s="78"/>
      <x:c r="H15" s="78"/>
      <x:c r="I15" s="78"/>
    </x:row>
    <x:row r="16" ht="18" customHeight="1">
      <x:c r="A16" s="78"/>
      <x:c r="B16" s="78"/>
      <x:c r="C16" s="78"/>
      <x:c r="D16" s="78"/>
      <x:c r="E16" s="78"/>
      <x:c r="F16" s="78"/>
      <x:c r="G16" s="78"/>
      <x:c r="H16" s="78"/>
      <x:c r="I16" s="78"/>
    </x:row>
    <x:row r="17" ht="18" customHeight="1">
      <x:c r="A17" s="78"/>
      <x:c r="B17" s="78"/>
      <x:c r="C17" s="78"/>
      <x:c r="D17" s="78"/>
      <x:c r="E17" s="78"/>
      <x:c r="F17" s="78"/>
      <x:c r="G17" s="78"/>
      <x:c r="H17" s="78"/>
      <x:c r="I17" s="78"/>
    </x:row>
    <x:row r="18" ht="18" customHeight="1">
      <x:c r="A18" s="78"/>
      <x:c r="B18" s="78"/>
      <x:c r="C18" s="78"/>
      <x:c r="D18" s="78"/>
      <x:c r="E18" s="78"/>
      <x:c r="F18" s="78"/>
      <x:c r="G18" s="78"/>
      <x:c r="H18" s="78"/>
      <x:c r="I18" s="78"/>
    </x:row>
    <x:row r="19" ht="18" customHeight="1">
      <x:c r="A19" s="78"/>
      <x:c r="B19" s="78"/>
      <x:c r="C19" s="78"/>
      <x:c r="D19" s="78"/>
      <x:c r="E19" s="78"/>
      <x:c r="F19" s="78"/>
      <x:c r="G19" s="78"/>
      <x:c r="H19" s="78"/>
      <x:c r="I19" s="78"/>
    </x:row>
    <x:row r="20" ht="18" customHeight="1">
      <x:c r="A20" s="78"/>
      <x:c r="B20" s="78"/>
      <x:c r="C20" s="78"/>
      <x:c r="D20" s="78"/>
      <x:c r="E20" s="78"/>
      <x:c r="F20" s="78"/>
      <x:c r="G20" s="78"/>
      <x:c r="H20" s="78"/>
      <x:c r="I20" s="78"/>
    </x:row>
    <x:row r="21" ht="18" customHeight="1">
      <x:c r="A21" s="78"/>
      <x:c r="B21" s="78"/>
      <x:c r="C21" s="78"/>
      <x:c r="D21" s="78"/>
      <x:c r="E21" s="78"/>
      <x:c r="F21" s="78"/>
      <x:c r="G21" s="78"/>
      <x:c r="H21" s="78"/>
      <x:c r="I21" s="78"/>
    </x:row>
    <x:row r="22" ht="18" customHeight="1">
      <x:c r="A22" s="78"/>
      <x:c r="B22" s="78"/>
      <x:c r="C22" s="78"/>
      <x:c r="D22" s="78"/>
      <x:c r="E22" s="78"/>
      <x:c r="F22" s="78"/>
      <x:c r="G22" s="78"/>
      <x:c r="H22" s="78"/>
      <x:c r="I22" s="78"/>
    </x:row>
    <x:row r="23" ht="18" customHeight="1">
      <x:c r="A23" s="78"/>
      <x:c r="B23" s="78"/>
      <x:c r="C23" s="78"/>
      <x:c r="D23" s="78"/>
      <x:c r="E23" s="78"/>
      <x:c r="F23" s="78"/>
      <x:c r="G23" s="78"/>
      <x:c r="H23" s="78"/>
      <x:c r="I23" s="78"/>
    </x:row>
    <x:row r="24" ht="18" customHeight="1">
      <x:c r="A24" s="78"/>
      <x:c r="B24" s="78"/>
      <x:c r="C24" s="78"/>
      <x:c r="D24" s="78"/>
      <x:c r="E24" s="78"/>
      <x:c r="F24" s="78"/>
      <x:c r="G24" s="78"/>
      <x:c r="H24" s="78"/>
      <x:c r="I24" s="78"/>
    </x:row>
    <x:row r="25" ht="18" customHeight="1">
      <x:c r="A25" s="78"/>
      <x:c r="B25" s="78"/>
      <x:c r="C25" s="78"/>
      <x:c r="D25" s="78"/>
      <x:c r="E25" s="78"/>
      <x:c r="F25" s="78"/>
      <x:c r="G25" s="78"/>
      <x:c r="H25" s="78"/>
      <x:c r="I25" s="78"/>
    </x:row>
    <x:row r="26" ht="18" customHeight="1">
      <x:c r="A26" s="78"/>
      <x:c r="B26" s="78"/>
      <x:c r="C26" s="78"/>
      <x:c r="D26" s="78"/>
      <x:c r="E26" s="78"/>
      <x:c r="F26" s="78"/>
      <x:c r="G26" s="78"/>
      <x:c r="H26" s="78"/>
      <x:c r="I26" s="78"/>
    </x:row>
    <x:row r="27" ht="18" customHeight="1">
      <x:c r="A27" s="78"/>
      <x:c r="B27" s="78"/>
      <x:c r="C27" s="78"/>
      <x:c r="D27" s="78"/>
      <x:c r="E27" s="78"/>
      <x:c r="F27" s="78"/>
      <x:c r="G27" s="78"/>
      <x:c r="H27" s="78"/>
      <x:c r="I27" s="78"/>
    </x:row>
    <x:row r="28" ht="18" customHeight="1">
      <x:c r="A28" s="78"/>
      <x:c r="B28" s="78"/>
      <x:c r="C28" s="78"/>
      <x:c r="D28" s="78"/>
      <x:c r="E28" s="78"/>
      <x:c r="F28" s="78"/>
      <x:c r="G28" s="78"/>
      <x:c r="H28" s="78"/>
      <x:c r="I28" s="78"/>
    </x:row>
    <x:row r="29" ht="18" customHeight="1">
      <x:c r="A29" s="78"/>
      <x:c r="B29" s="78"/>
      <x:c r="C29" s="78"/>
      <x:c r="D29" s="78"/>
      <x:c r="E29" s="78"/>
      <x:c r="F29" s="78"/>
      <x:c r="G29" s="78"/>
      <x:c r="H29" s="78"/>
      <x:c r="I29" s="78"/>
    </x:row>
    <x:row r="30" ht="18" customHeight="1">
      <x:c r="A30" s="78"/>
      <x:c r="B30" s="78"/>
      <x:c r="C30" s="78"/>
      <x:c r="D30" s="78"/>
      <x:c r="E30" s="78"/>
      <x:c r="F30" s="78"/>
      <x:c r="G30" s="78"/>
      <x:c r="H30" s="78"/>
      <x:c r="I30" s="78"/>
    </x:row>
    <x:row r="31" ht="18" customHeight="1">
      <x:c r="A31" s="78"/>
      <x:c r="B31" s="78"/>
      <x:c r="C31" s="78"/>
      <x:c r="D31" s="78"/>
      <x:c r="E31" s="78"/>
      <x:c r="F31" s="78"/>
      <x:c r="G31" s="78"/>
      <x:c r="H31" s="78"/>
      <x:c r="I31" s="78"/>
    </x:row>
    <x:row r="32" ht="18" customHeight="1">
      <x:c r="A32" s="78"/>
      <x:c r="B32" s="78"/>
      <x:c r="C32" s="78"/>
      <x:c r="D32" s="78"/>
      <x:c r="E32" s="78"/>
      <x:c r="F32" s="78"/>
      <x:c r="G32" s="78"/>
      <x:c r="H32" s="78"/>
      <x:c r="I32" s="78"/>
    </x:row>
    <x:row r="33" ht="18" customHeight="1">
      <x:c r="A33" s="78"/>
      <x:c r="B33" s="78"/>
      <x:c r="C33" s="78"/>
      <x:c r="D33" s="78"/>
      <x:c r="E33" s="78"/>
      <x:c r="F33" s="78"/>
      <x:c r="G33" s="78"/>
      <x:c r="H33" s="78"/>
      <x:c r="I33" s="78"/>
    </x:row>
    <x:row r="34" ht="18" customHeight="1">
      <x:c r="A34" s="78"/>
      <x:c r="B34" s="78"/>
      <x:c r="C34" s="78"/>
      <x:c r="D34" s="78"/>
      <x:c r="E34" s="78"/>
      <x:c r="F34" s="78"/>
      <x:c r="G34" s="78"/>
      <x:c r="H34" s="78"/>
      <x:c r="I34" s="78"/>
    </x:row>
    <x:row r="35" ht="18" customHeight="1">
      <x:c r="A35" s="78"/>
      <x:c r="B35" s="78"/>
      <x:c r="C35" s="78"/>
      <x:c r="D35" s="78"/>
      <x:c r="E35" s="78"/>
      <x:c r="F35" s="78"/>
      <x:c r="G35" s="78"/>
      <x:c r="H35" s="78"/>
      <x:c r="I35" s="78"/>
    </x:row>
    <x:row r="36" ht="18" customHeight="1">
      <x:c r="A36" s="78"/>
      <x:c r="B36" s="78"/>
      <x:c r="C36" s="78"/>
      <x:c r="D36" s="78"/>
      <x:c r="E36" s="78"/>
      <x:c r="F36" s="78"/>
      <x:c r="G36" s="78"/>
      <x:c r="H36" s="78"/>
      <x:c r="I36" s="78"/>
    </x:row>
    <x:row r="37" ht="18" customHeight="1">
      <x:c r="A37" s="78"/>
      <x:c r="B37" s="78"/>
      <x:c r="C37" s="78"/>
      <x:c r="D37" s="78"/>
      <x:c r="E37" s="78"/>
      <x:c r="F37" s="78"/>
      <x:c r="G37" s="78"/>
      <x:c r="H37" s="78"/>
      <x:c r="I37" s="78"/>
    </x:row>
    <x:row r="38" ht="18" customHeight="1">
      <x:c r="A38" s="78"/>
      <x:c r="B38" s="78"/>
      <x:c r="C38" s="78"/>
      <x:c r="D38" s="78"/>
      <x:c r="E38" s="78"/>
      <x:c r="F38" s="78"/>
      <x:c r="G38" s="78"/>
      <x:c r="H38" s="78"/>
      <x:c r="I38" s="78"/>
    </x:row>
    <x:row r="39" ht="18" customHeight="1">
      <x:c r="A39" s="78"/>
      <x:c r="B39" s="78"/>
      <x:c r="C39" s="78"/>
      <x:c r="D39" s="78"/>
      <x:c r="E39" s="78"/>
      <x:c r="F39" s="78"/>
      <x:c r="G39" s="78"/>
      <x:c r="H39" s="78"/>
      <x:c r="I39" s="78"/>
    </x:row>
    <x:row r="40" ht="18" customHeight="1">
      <x:c r="A40" s="78"/>
      <x:c r="B40" s="78"/>
      <x:c r="C40" s="78"/>
      <x:c r="D40" s="78"/>
      <x:c r="E40" s="78"/>
      <x:c r="F40" s="78"/>
      <x:c r="G40" s="78"/>
      <x:c r="H40" s="78"/>
      <x:c r="I40" s="78"/>
    </x:row>
  </x:sheetData>
  <x:mergeCells>
    <x:mergeCell ref="A1:F2"/>
    <x:mergeCell ref="A11:F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32" hidden="0" customWidth="1"/>
    <x:col min="4" max="4" width="38" hidden="0" customWidth="1"/>
  </x:cols>
  <x:sheetData>
    <x:row r="1" ht="18" customHeight="1">
      <x:c r="A1" s="5" t="str">
        <x:v>Sources &amp; Methodology Notes</x:v>
      </x:c>
      <x:c r="B1" s="78"/>
      <x:c r="C1" s="78"/>
      <x:c r="D1" s="78"/>
      <x:c r="E1" s="78"/>
      <x:c r="F1" s="78"/>
      <x:c r="G1" s="78"/>
      <x:c r="H1" s="78"/>
      <x:c r="I1" s="78"/>
    </x:row>
    <x:row r="2" ht="18" customHeight="1">
      <x:c r="A2" s="78"/>
      <x:c r="B2" s="78"/>
      <x:c r="C2" s="78"/>
      <x:c r="D2" s="78"/>
      <x:c r="E2" s="78"/>
      <x:c r="F2" s="78"/>
      <x:c r="G2" s="78"/>
      <x:c r="H2" s="78"/>
      <x:c r="I2" s="78"/>
    </x:row>
    <x:row r="3" ht="18" customHeight="1">
      <x:c r="A3" s="78"/>
      <x:c r="B3" s="78"/>
      <x:c r="C3" s="78"/>
      <x:c r="D3" s="78"/>
      <x:c r="E3" s="78"/>
      <x:c r="F3" s="78"/>
      <x:c r="G3" s="78"/>
      <x:c r="H3" s="78"/>
      <x:c r="I3" s="78"/>
    </x:row>
    <x:row r="4" ht="18" customHeight="1">
      <x:c r="A4" s="34" t="str">
        <x:v>Source</x:v>
      </x:c>
      <x:c r="B4" s="34" t="str">
        <x:v>URL</x:v>
      </x:c>
      <x:c r="C4" s="34" t="str">
        <x:v>Used For</x:v>
      </x:c>
      <x:c r="D4" s="34" t="str">
        <x:v>Notes</x:v>
      </x:c>
      <x:c r="E4" s="78"/>
      <x:c r="F4" s="78"/>
      <x:c r="G4" s="78"/>
      <x:c r="H4" s="78"/>
      <x:c r="I4" s="78"/>
    </x:row>
    <x:row r="5" ht="18" customHeight="1">
      <x:c r="A5" s="114" t="str">
        <x:v>Home Depot FY2025 Form 10-K</x:v>
      </x:c>
      <x:c r="B5" s="114" t="str">
        <x:v>https://www.sec.gov/Archives/edgar/data/354950/000162828026019436/hd-20260201.htm</x:v>
      </x:c>
      <x:c r="C5" s="114" t="str">
        <x:v>FY2025 financials, debt, liquidity, maturities</x:v>
      </x:c>
      <x:c r="D5" s="114" t="str">
        <x:v>Primary source</x:v>
      </x:c>
      <x:c r="E5" s="78"/>
      <x:c r="F5" s="78"/>
      <x:c r="G5" s="78"/>
      <x:c r="H5" s="78"/>
      <x:c r="I5" s="78"/>
    </x:row>
    <x:row r="6" ht="18" customHeight="1">
      <x:c r="A6" s="114" t="str">
        <x:v>Home Depot Investor Relations Annual Reports</x:v>
      </x:c>
      <x:c r="B6" s="114" t="str">
        <x:v>https://ir.homedepot.com/financial-reports/annual-reports/recent</x:v>
      </x:c>
      <x:c r="C6" s="114" t="str">
        <x:v>Annual report cross-check</x:v>
      </x:c>
      <x:c r="D6" s="114" t="str">
        <x:v>Primary source</x:v>
      </x:c>
      <x:c r="E6" s="78"/>
      <x:c r="F6" s="78"/>
      <x:c r="G6" s="78"/>
      <x:c r="H6" s="78"/>
      <x:c r="I6" s="78"/>
    </x:row>
    <x:row r="7" ht="18" customHeight="1">
      <x:c r="A7" s="114" t="str">
        <x:v>Existing Corporate Credit Project</x:v>
      </x:c>
      <x:c r="B7" s="114" t="str">
        <x:v>Local project outputs</x:v>
      </x:c>
      <x:c r="C7" s="114" t="str">
        <x:v>Peer comparison / normalized credit scores</x:v>
      </x:c>
      <x:c r="D7" s="114" t="str">
        <x:v>Based on SEC financial data already processed in project</x:v>
      </x:c>
      <x:c r="E7" s="78"/>
      <x:c r="F7" s="78"/>
      <x:c r="G7" s="78"/>
      <x:c r="H7" s="78"/>
      <x:c r="I7" s="78"/>
    </x:row>
    <x:row r="8" ht="18" customHeight="1">
      <x:c r="A8" s="114" t="str">
        <x:v>Scenario assumption</x:v>
      </x:c>
      <x:c r="B8" s="114" t="str">
        <x:v>N/A</x:v>
      </x:c>
      <x:c r="C8" s="114" t="str">
        <x:v>6.0% illustrative new debt coupon</x:v>
      </x:c>
      <x:c r="D8" s="114" t="str">
        <x:v>Model assumption, not a market quote</x:v>
      </x:c>
      <x:c r="E8" s="78"/>
      <x:c r="F8" s="78"/>
      <x:c r="G8" s="78"/>
      <x:c r="H8" s="78"/>
      <x:c r="I8" s="78"/>
    </x:row>
    <x:row r="9" ht="18" customHeight="1">
      <x:c r="A9" s="114" t="str">
        <x:v>Leverage guardrail</x:v>
      </x:c>
      <x:c r="B9" s="114" t="str">
        <x:v>N/A</x:v>
      </x:c>
      <x:c r="C9" s="114" t="str">
        <x:v>2.75x Debt / EBITDA</x:v>
      </x:c>
      <x:c r="D9" s="114" t="str">
        <x:v>Illustrative internal underwriting threshold</x:v>
      </x:c>
      <x:c r="E9" s="78"/>
      <x:c r="F9" s="78"/>
      <x:c r="G9" s="78"/>
      <x:c r="H9" s="78"/>
      <x:c r="I9" s="78"/>
    </x:row>
    <x:row r="10" ht="18" customHeight="1">
      <x:c r="A10" s="114" t="str">
        <x:v>Coverage guardrail</x:v>
      </x:c>
      <x:c r="B10" s="114" t="str">
        <x:v>N/A</x:v>
      </x:c>
      <x:c r="C10" s="114" t="str">
        <x:v>5.0x EBIT / Interest</x:v>
      </x:c>
      <x:c r="D10" s="114" t="str">
        <x:v>Illustrative internal underwriting threshold</x:v>
      </x:c>
      <x:c r="E10" s="78"/>
      <x:c r="F10" s="78"/>
      <x:c r="G10" s="78"/>
      <x:c r="H10" s="78"/>
      <x:c r="I10" s="78"/>
    </x:row>
    <x:row r="11" ht="18" customHeight="1">
      <x:c r="A11" s="78"/>
      <x:c r="B11" s="78"/>
      <x:c r="C11" s="78"/>
      <x:c r="D11" s="78"/>
      <x:c r="E11" s="78"/>
      <x:c r="F11" s="78"/>
      <x:c r="G11" s="78"/>
      <x:c r="H11" s="78"/>
      <x:c r="I11" s="78"/>
    </x:row>
    <x:row r="12" ht="18" customHeight="1">
      <x:c r="A12" s="78"/>
      <x:c r="B12" s="78"/>
      <x:c r="C12" s="78"/>
      <x:c r="D12" s="78"/>
      <x:c r="E12" s="78"/>
      <x:c r="F12" s="78"/>
      <x:c r="G12" s="78"/>
      <x:c r="H12" s="78"/>
      <x:c r="I12" s="78"/>
    </x:row>
    <x:row r="13" ht="18" customHeight="1">
      <x:c r="A13" s="78"/>
      <x:c r="B13" s="78"/>
      <x:c r="C13" s="78"/>
      <x:c r="D13" s="78"/>
      <x:c r="E13" s="78"/>
      <x:c r="F13" s="78"/>
      <x:c r="G13" s="78"/>
      <x:c r="H13" s="78"/>
      <x:c r="I13" s="78"/>
    </x:row>
    <x:row r="14" ht="18" customHeight="1">
      <x:c r="A14" s="78"/>
      <x:c r="B14" s="78"/>
      <x:c r="C14" s="78"/>
      <x:c r="D14" s="78"/>
      <x:c r="E14" s="78"/>
      <x:c r="F14" s="78"/>
      <x:c r="G14" s="78"/>
      <x:c r="H14" s="78"/>
      <x:c r="I14" s="78"/>
    </x:row>
    <x:row r="15" ht="18" customHeight="1">
      <x:c r="A15" s="78"/>
      <x:c r="B15" s="78"/>
      <x:c r="C15" s="78"/>
      <x:c r="D15" s="78"/>
      <x:c r="E15" s="78"/>
      <x:c r="F15" s="78"/>
      <x:c r="G15" s="78"/>
      <x:c r="H15" s="78"/>
      <x:c r="I15" s="78"/>
    </x:row>
    <x:row r="16" ht="18" customHeight="1">
      <x:c r="A16" s="78"/>
      <x:c r="B16" s="78"/>
      <x:c r="C16" s="78"/>
      <x:c r="D16" s="78"/>
      <x:c r="E16" s="78"/>
      <x:c r="F16" s="78"/>
      <x:c r="G16" s="78"/>
      <x:c r="H16" s="78"/>
      <x:c r="I16" s="78"/>
    </x:row>
    <x:row r="17" ht="18" customHeight="1">
      <x:c r="A17" s="78"/>
      <x:c r="B17" s="78"/>
      <x:c r="C17" s="78"/>
      <x:c r="D17" s="78"/>
      <x:c r="E17" s="78"/>
      <x:c r="F17" s="78"/>
      <x:c r="G17" s="78"/>
      <x:c r="H17" s="78"/>
      <x:c r="I17" s="78"/>
    </x:row>
    <x:row r="18" ht="18" customHeight="1">
      <x:c r="A18" s="78"/>
      <x:c r="B18" s="78"/>
      <x:c r="C18" s="78"/>
      <x:c r="D18" s="78"/>
      <x:c r="E18" s="78"/>
      <x:c r="F18" s="78"/>
      <x:c r="G18" s="78"/>
      <x:c r="H18" s="78"/>
      <x:c r="I18" s="78"/>
    </x:row>
    <x:row r="19" ht="18" customHeight="1">
      <x:c r="A19" s="78"/>
      <x:c r="B19" s="78"/>
      <x:c r="C19" s="78"/>
      <x:c r="D19" s="78"/>
      <x:c r="E19" s="78"/>
      <x:c r="F19" s="78"/>
      <x:c r="G19" s="78"/>
      <x:c r="H19" s="78"/>
      <x:c r="I19" s="78"/>
    </x:row>
    <x:row r="20" ht="18" customHeight="1">
      <x:c r="A20" s="78"/>
      <x:c r="B20" s="78"/>
      <x:c r="C20" s="78"/>
      <x:c r="D20" s="78"/>
      <x:c r="E20" s="78"/>
      <x:c r="F20" s="78"/>
      <x:c r="G20" s="78"/>
      <x:c r="H20" s="78"/>
      <x:c r="I20" s="78"/>
    </x:row>
    <x:row r="21" ht="18" customHeight="1">
      <x:c r="A21" s="78"/>
      <x:c r="B21" s="78"/>
      <x:c r="C21" s="78"/>
      <x:c r="D21" s="78"/>
      <x:c r="E21" s="78"/>
      <x:c r="F21" s="78"/>
      <x:c r="G21" s="78"/>
      <x:c r="H21" s="78"/>
      <x:c r="I21" s="78"/>
    </x:row>
    <x:row r="22" ht="18" customHeight="1">
      <x:c r="A22" s="78"/>
      <x:c r="B22" s="78"/>
      <x:c r="C22" s="78"/>
      <x:c r="D22" s="78"/>
      <x:c r="E22" s="78"/>
      <x:c r="F22" s="78"/>
      <x:c r="G22" s="78"/>
      <x:c r="H22" s="78"/>
      <x:c r="I22" s="78"/>
    </x:row>
    <x:row r="23" ht="18" customHeight="1">
      <x:c r="A23" s="78"/>
      <x:c r="B23" s="78"/>
      <x:c r="C23" s="78"/>
      <x:c r="D23" s="78"/>
      <x:c r="E23" s="78"/>
      <x:c r="F23" s="78"/>
      <x:c r="G23" s="78"/>
      <x:c r="H23" s="78"/>
      <x:c r="I23" s="78"/>
    </x:row>
    <x:row r="24" ht="18" customHeight="1">
      <x:c r="A24" s="78"/>
      <x:c r="B24" s="78"/>
      <x:c r="C24" s="78"/>
      <x:c r="D24" s="78"/>
      <x:c r="E24" s="78"/>
      <x:c r="F24" s="78"/>
      <x:c r="G24" s="78"/>
      <x:c r="H24" s="78"/>
      <x:c r="I24" s="78"/>
    </x:row>
    <x:row r="25" ht="18" customHeight="1">
      <x:c r="A25" s="78"/>
      <x:c r="B25" s="78"/>
      <x:c r="C25" s="78"/>
      <x:c r="D25" s="78"/>
      <x:c r="E25" s="78"/>
      <x:c r="F25" s="78"/>
      <x:c r="G25" s="78"/>
      <x:c r="H25" s="78"/>
      <x:c r="I25" s="78"/>
    </x:row>
    <x:row r="26" ht="18" customHeight="1">
      <x:c r="A26" s="78"/>
      <x:c r="B26" s="78"/>
      <x:c r="C26" s="78"/>
      <x:c r="D26" s="78"/>
      <x:c r="E26" s="78"/>
      <x:c r="F26" s="78"/>
      <x:c r="G26" s="78"/>
      <x:c r="H26" s="78"/>
      <x:c r="I26" s="78"/>
    </x:row>
    <x:row r="27" ht="18" customHeight="1">
      <x:c r="A27" s="78"/>
      <x:c r="B27" s="78"/>
      <x:c r="C27" s="78"/>
      <x:c r="D27" s="78"/>
      <x:c r="E27" s="78"/>
      <x:c r="F27" s="78"/>
      <x:c r="G27" s="78"/>
      <x:c r="H27" s="78"/>
      <x:c r="I27" s="78"/>
    </x:row>
    <x:row r="28" ht="18" customHeight="1">
      <x:c r="A28" s="78"/>
      <x:c r="B28" s="78"/>
      <x:c r="C28" s="78"/>
      <x:c r="D28" s="78"/>
      <x:c r="E28" s="78"/>
      <x:c r="F28" s="78"/>
      <x:c r="G28" s="78"/>
      <x:c r="H28" s="78"/>
      <x:c r="I28" s="78"/>
    </x:row>
    <x:row r="29" ht="18" customHeight="1">
      <x:c r="A29" s="78"/>
      <x:c r="B29" s="78"/>
      <x:c r="C29" s="78"/>
      <x:c r="D29" s="78"/>
      <x:c r="E29" s="78"/>
      <x:c r="F29" s="78"/>
      <x:c r="G29" s="78"/>
      <x:c r="H29" s="78"/>
      <x:c r="I29" s="78"/>
    </x:row>
    <x:row r="30" ht="18" customHeight="1">
      <x:c r="A30" s="78"/>
      <x:c r="B30" s="78"/>
      <x:c r="C30" s="78"/>
      <x:c r="D30" s="78"/>
      <x:c r="E30" s="78"/>
      <x:c r="F30" s="78"/>
      <x:c r="G30" s="78"/>
      <x:c r="H30" s="78"/>
      <x:c r="I30" s="78"/>
    </x:row>
    <x:row r="31" ht="18" customHeight="1">
      <x:c r="A31" s="78"/>
      <x:c r="B31" s="78"/>
      <x:c r="C31" s="78"/>
      <x:c r="D31" s="78"/>
      <x:c r="E31" s="78"/>
      <x:c r="F31" s="78"/>
      <x:c r="G31" s="78"/>
      <x:c r="H31" s="78"/>
      <x:c r="I31" s="78"/>
    </x:row>
    <x:row r="32" ht="18" customHeight="1">
      <x:c r="A32" s="78"/>
      <x:c r="B32" s="78"/>
      <x:c r="C32" s="78"/>
      <x:c r="D32" s="78"/>
      <x:c r="E32" s="78"/>
      <x:c r="F32" s="78"/>
      <x:c r="G32" s="78"/>
      <x:c r="H32" s="78"/>
      <x:c r="I32" s="78"/>
    </x:row>
    <x:row r="33" ht="18" customHeight="1">
      <x:c r="A33" s="78"/>
      <x:c r="B33" s="78"/>
      <x:c r="C33" s="78"/>
      <x:c r="D33" s="78"/>
      <x:c r="E33" s="78"/>
      <x:c r="F33" s="78"/>
      <x:c r="G33" s="78"/>
      <x:c r="H33" s="78"/>
      <x:c r="I33" s="78"/>
    </x:row>
    <x:row r="34" ht="18" customHeight="1">
      <x:c r="A34" s="78"/>
      <x:c r="B34" s="78"/>
      <x:c r="C34" s="78"/>
      <x:c r="D34" s="78"/>
      <x:c r="E34" s="78"/>
      <x:c r="F34" s="78"/>
      <x:c r="G34" s="78"/>
      <x:c r="H34" s="78"/>
      <x:c r="I34" s="78"/>
    </x:row>
    <x:row r="35" ht="18" customHeight="1">
      <x:c r="A35" s="78"/>
      <x:c r="B35" s="78"/>
      <x:c r="C35" s="78"/>
      <x:c r="D35" s="78"/>
      <x:c r="E35" s="78"/>
      <x:c r="F35" s="78"/>
      <x:c r="G35" s="78"/>
      <x:c r="H35" s="78"/>
      <x:c r="I35" s="78"/>
    </x:row>
    <x:row r="36" ht="18" customHeight="1">
      <x:c r="A36" s="78"/>
      <x:c r="B36" s="78"/>
      <x:c r="C36" s="78"/>
      <x:c r="D36" s="78"/>
      <x:c r="E36" s="78"/>
      <x:c r="F36" s="78"/>
      <x:c r="G36" s="78"/>
      <x:c r="H36" s="78"/>
      <x:c r="I36" s="78"/>
    </x:row>
    <x:row r="37" ht="18" customHeight="1">
      <x:c r="A37" s="78"/>
      <x:c r="B37" s="78"/>
      <x:c r="C37" s="78"/>
      <x:c r="D37" s="78"/>
      <x:c r="E37" s="78"/>
      <x:c r="F37" s="78"/>
      <x:c r="G37" s="78"/>
      <x:c r="H37" s="78"/>
      <x:c r="I37" s="78"/>
    </x:row>
    <x:row r="38" ht="18" customHeight="1">
      <x:c r="A38" s="78"/>
      <x:c r="B38" s="78"/>
      <x:c r="C38" s="78"/>
      <x:c r="D38" s="78"/>
      <x:c r="E38" s="78"/>
      <x:c r="F38" s="78"/>
      <x:c r="G38" s="78"/>
      <x:c r="H38" s="78"/>
      <x:c r="I38" s="78"/>
    </x:row>
    <x:row r="39" ht="18" customHeight="1">
      <x:c r="A39" s="78"/>
      <x:c r="B39" s="78"/>
      <x:c r="C39" s="78"/>
      <x:c r="D39" s="78"/>
      <x:c r="E39" s="78"/>
      <x:c r="F39" s="78"/>
      <x:c r="G39" s="78"/>
      <x:c r="H39" s="78"/>
      <x:c r="I39" s="78"/>
    </x:row>
    <x:row r="40" ht="18" customHeight="1">
      <x:c r="A40" s="78"/>
      <x:c r="B40" s="78"/>
      <x:c r="C40" s="78"/>
      <x:c r="D40" s="78"/>
      <x:c r="E40" s="78"/>
      <x:c r="F40" s="78"/>
      <x:c r="G40" s="78"/>
      <x:c r="H40" s="78"/>
      <x:c r="I40" s="78"/>
    </x:row>
  </x:sheetData>
  <x:mergeCells>
    <x:mergeCell ref="A1:D2"/>
  </x:mergeCells>
  <x:pageMargins left="0.7" right="0.7" top="0.75" bottom="0.75" header="0.3" footer="0.3"/>
</x:worksheet>
</file>