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Financials" sheetId="1" state="visible" r:id="rId1"/>
    <sheet name="Credit Metrics" sheetId="2" state="visible" r:id="rId2"/>
    <sheet name="Credit Scores" sheetId="3" state="visible" r:id="rId3"/>
    <sheet name="Scenario Analysis" sheetId="4" state="visible" r:id="rId4"/>
  </sheets>
  <definedNames>
    <definedName name="_xlnm._FilterDatabase" localSheetId="0" hidden="1">'Historical Financials'!$A$1:$O$26</definedName>
    <definedName name="_xlnm._FilterDatabase" localSheetId="2" hidden="1">'Credit Scores'!$A$1:$E$6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.00,,,&quot;B&quot;"/>
    <numFmt numFmtId="166" formatCode="0.00x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horizontal="center"/>
    </xf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company</t>
        </is>
      </c>
      <c r="B1" s="6" t="inlineStr">
        <is>
          <t>fiscal_year</t>
        </is>
      </c>
      <c r="C1" s="6" t="inlineStr">
        <is>
          <t>revenue</t>
        </is>
      </c>
      <c r="D1" s="6" t="inlineStr">
        <is>
          <t>operating_income</t>
        </is>
      </c>
      <c r="E1" s="6" t="inlineStr">
        <is>
          <t>net_income</t>
        </is>
      </c>
      <c r="F1" s="6" t="inlineStr">
        <is>
          <t>cash</t>
        </is>
      </c>
      <c r="G1" s="6" t="inlineStr">
        <is>
          <t>current_assets</t>
        </is>
      </c>
      <c r="H1" s="6" t="inlineStr">
        <is>
          <t>current_liabilities</t>
        </is>
      </c>
      <c r="I1" s="6" t="inlineStr">
        <is>
          <t>total_assets</t>
        </is>
      </c>
      <c r="J1" s="6" t="inlineStr">
        <is>
          <t>total_debt</t>
        </is>
      </c>
      <c r="K1" s="6" t="inlineStr">
        <is>
          <t>equity</t>
        </is>
      </c>
      <c r="L1" s="6" t="inlineStr">
        <is>
          <t>operating_cash_flow</t>
        </is>
      </c>
      <c r="M1" s="6" t="inlineStr">
        <is>
          <t>capex</t>
        </is>
      </c>
      <c r="N1" s="6" t="inlineStr">
        <is>
          <t>interest_expense</t>
        </is>
      </c>
      <c r="O1" s="6" t="inlineStr">
        <is>
          <t>depreciation_amortization</t>
        </is>
      </c>
    </row>
    <row r="2">
      <c r="A2" t="inlineStr">
        <is>
          <t>Costco</t>
        </is>
      </c>
      <c r="B2" s="7" t="n">
        <v>2021</v>
      </c>
      <c r="C2" s="8" t="n">
        <v>195929000000</v>
      </c>
      <c r="D2" s="8" t="n">
        <v>6708000000</v>
      </c>
      <c r="E2" s="8" t="n">
        <v>5007000000</v>
      </c>
      <c r="F2" s="8" t="n">
        <v>11258000000</v>
      </c>
      <c r="G2" s="8" t="n">
        <v>29505000000</v>
      </c>
      <c r="H2" s="8" t="n">
        <v>29441000000</v>
      </c>
      <c r="I2" s="8" t="n">
        <v>59268000000</v>
      </c>
      <c r="J2" s="8" t="n">
        <v>7531000000</v>
      </c>
      <c r="K2" s="8" t="n">
        <v>17564000000</v>
      </c>
      <c r="L2" s="8" t="n">
        <v>8958000000</v>
      </c>
      <c r="M2" s="8" t="n">
        <v>3588000000</v>
      </c>
      <c r="N2" s="8" t="n">
        <v>171000000</v>
      </c>
      <c r="O2" s="8" t="n">
        <v>1781000000</v>
      </c>
    </row>
    <row r="3">
      <c r="A3" t="inlineStr">
        <is>
          <t>Costco</t>
        </is>
      </c>
      <c r="B3" s="7" t="n">
        <v>2022</v>
      </c>
      <c r="C3" s="8" t="n">
        <v>226954000000</v>
      </c>
      <c r="D3" s="8" t="n">
        <v>7793000000</v>
      </c>
      <c r="E3" s="8" t="n">
        <v>5844000000</v>
      </c>
      <c r="F3" s="8" t="n">
        <v>10203000000</v>
      </c>
      <c r="G3" s="8" t="n">
        <v>32696000000</v>
      </c>
      <c r="H3" s="8" t="n">
        <v>31998000000</v>
      </c>
      <c r="I3" s="8" t="n">
        <v>64166000000</v>
      </c>
      <c r="J3" s="8" t="n">
        <v>6590000000</v>
      </c>
      <c r="K3" s="8" t="n">
        <v>20642000000</v>
      </c>
      <c r="L3" s="8" t="n">
        <v>7392000000</v>
      </c>
      <c r="M3" s="8" t="n">
        <v>3891000000</v>
      </c>
      <c r="N3" s="8" t="n">
        <v>158000000</v>
      </c>
      <c r="O3" s="8" t="n">
        <v>1900000000</v>
      </c>
    </row>
    <row r="4">
      <c r="A4" t="inlineStr">
        <is>
          <t>Costco</t>
        </is>
      </c>
      <c r="B4" s="7" t="n">
        <v>2023</v>
      </c>
      <c r="C4" s="8" t="n">
        <v>242290000000</v>
      </c>
      <c r="D4" s="8" t="n">
        <v>8114000000</v>
      </c>
      <c r="E4" s="8" t="n">
        <v>6292000000</v>
      </c>
      <c r="F4" s="8" t="n">
        <v>13700000000</v>
      </c>
      <c r="G4" s="8" t="n">
        <v>35879000000</v>
      </c>
      <c r="H4" s="8" t="n">
        <v>33583000000</v>
      </c>
      <c r="I4" s="8" t="n">
        <v>68994000000</v>
      </c>
      <c r="J4" s="8" t="n">
        <v>6484000000</v>
      </c>
      <c r="K4" s="8" t="n">
        <v>25058000000</v>
      </c>
      <c r="L4" s="8" t="n">
        <v>11068000000</v>
      </c>
      <c r="M4" s="8" t="n">
        <v>4323000000</v>
      </c>
      <c r="N4" s="8" t="n">
        <v>160000000</v>
      </c>
      <c r="O4" s="8" t="n">
        <v>2077000000</v>
      </c>
    </row>
    <row r="5">
      <c r="A5" t="inlineStr">
        <is>
          <t>Costco</t>
        </is>
      </c>
      <c r="B5" s="7" t="n">
        <v>2024</v>
      </c>
      <c r="C5" s="8" t="n">
        <v>254453000000</v>
      </c>
      <c r="D5" s="8" t="n">
        <v>9285000000</v>
      </c>
      <c r="E5" s="8" t="n">
        <v>7367000000</v>
      </c>
      <c r="F5" s="8" t="n">
        <v>9906000000</v>
      </c>
      <c r="G5" s="8" t="n">
        <v>34246000000</v>
      </c>
      <c r="H5" s="8" t="n">
        <v>35464000000</v>
      </c>
      <c r="I5" s="8" t="n">
        <v>69831000000</v>
      </c>
      <c r="J5" s="8" t="n">
        <v>5919000000</v>
      </c>
      <c r="K5" s="8" t="n">
        <v>23622000000</v>
      </c>
      <c r="L5" s="8" t="n">
        <v>11339000000</v>
      </c>
      <c r="M5" s="8" t="n">
        <v>4710000000</v>
      </c>
      <c r="N5" s="8" t="n">
        <v>169000000</v>
      </c>
      <c r="O5" s="8" t="n">
        <v>2237000000</v>
      </c>
    </row>
    <row r="6">
      <c r="A6" t="inlineStr">
        <is>
          <t>Costco</t>
        </is>
      </c>
      <c r="B6" s="7" t="n">
        <v>2025</v>
      </c>
      <c r="C6" s="8" t="n">
        <v>275235000000</v>
      </c>
      <c r="D6" s="8" t="n">
        <v>10383000000</v>
      </c>
      <c r="E6" s="8" t="n">
        <v>8099000000</v>
      </c>
      <c r="F6" s="8" t="n">
        <v>14161000000</v>
      </c>
      <c r="G6" s="8" t="n">
        <v>38380000000</v>
      </c>
      <c r="H6" s="8" t="n">
        <v>37108000000</v>
      </c>
      <c r="I6" s="8" t="n">
        <v>77099000000</v>
      </c>
      <c r="J6" s="8" t="n">
        <v>5805000000</v>
      </c>
      <c r="K6" s="8" t="n">
        <v>29164000000</v>
      </c>
      <c r="L6" s="8" t="n">
        <v>13335000000</v>
      </c>
      <c r="M6" s="8" t="n">
        <v>5498000000</v>
      </c>
      <c r="N6" s="8" t="n">
        <v>154000000</v>
      </c>
      <c r="O6" s="8" t="n">
        <v>2426000000</v>
      </c>
    </row>
    <row r="7">
      <c r="A7" t="inlineStr">
        <is>
          <t>Home Depot</t>
        </is>
      </c>
      <c r="B7" s="7" t="n">
        <v>2022</v>
      </c>
      <c r="C7" s="8" t="n">
        <v>151157000000</v>
      </c>
      <c r="D7" s="8" t="n">
        <v>23040000000</v>
      </c>
      <c r="E7" s="8" t="n">
        <v>16433000000</v>
      </c>
      <c r="F7" s="8" t="n">
        <v>2343000000</v>
      </c>
      <c r="G7" s="8" t="n">
        <v>29055000000</v>
      </c>
      <c r="H7" s="8" t="n">
        <v>28693000000</v>
      </c>
      <c r="I7" s="8" t="n">
        <v>71876000000</v>
      </c>
      <c r="J7" s="8" t="n">
        <v>36400000000</v>
      </c>
      <c r="K7" s="8" t="n">
        <v>-1696000000</v>
      </c>
      <c r="L7" s="8" t="n">
        <v>16571000000</v>
      </c>
      <c r="M7" s="8" t="n">
        <v>2566000000</v>
      </c>
      <c r="N7" s="8" t="n">
        <v>1347000000</v>
      </c>
      <c r="O7" s="8" t="n">
        <v>2386000000</v>
      </c>
    </row>
    <row r="8">
      <c r="A8" t="inlineStr">
        <is>
          <t>Home Depot</t>
        </is>
      </c>
      <c r="B8" s="7" t="n">
        <v>2023</v>
      </c>
      <c r="C8" s="8" t="n">
        <v>157403000000</v>
      </c>
      <c r="D8" s="8" t="n">
        <v>24039000000</v>
      </c>
      <c r="E8" s="8" t="n">
        <v>17105000000</v>
      </c>
      <c r="F8" s="8" t="n">
        <v>2757000000</v>
      </c>
      <c r="G8" s="8" t="n">
        <v>32471000000</v>
      </c>
      <c r="H8" s="8" t="n">
        <v>23110000000</v>
      </c>
      <c r="I8" s="8" t="n">
        <v>76445000000</v>
      </c>
      <c r="J8" s="8" t="n">
        <v>41150000000</v>
      </c>
      <c r="K8" s="8" t="n">
        <v>1562000000</v>
      </c>
      <c r="L8" s="8" t="n">
        <v>14615000000</v>
      </c>
      <c r="M8" s="8" t="n">
        <v>3119000000</v>
      </c>
      <c r="N8" s="8" t="n">
        <v>1617000000</v>
      </c>
      <c r="O8" s="8" t="n">
        <v>2455000000</v>
      </c>
    </row>
    <row r="9">
      <c r="A9" t="inlineStr">
        <is>
          <t>Home Depot</t>
        </is>
      </c>
      <c r="B9" s="7" t="n">
        <v>2024</v>
      </c>
      <c r="C9" s="8" t="n">
        <v>152669000000</v>
      </c>
      <c r="D9" s="8" t="n">
        <v>21689000000</v>
      </c>
      <c r="E9" s="8" t="n">
        <v>15143000000</v>
      </c>
      <c r="F9" s="8" t="n">
        <v>3760000000</v>
      </c>
      <c r="G9" s="8" t="n">
        <v>29775000000</v>
      </c>
      <c r="H9" s="8" t="n">
        <v>22015000000</v>
      </c>
      <c r="I9" s="8" t="n">
        <v>76530000000</v>
      </c>
      <c r="J9" s="8" t="n">
        <v>42150000000</v>
      </c>
      <c r="K9" s="8" t="n">
        <v>1044000000</v>
      </c>
      <c r="L9" s="8" t="n">
        <v>21172000000</v>
      </c>
      <c r="M9" s="8" t="n">
        <v>3226000000</v>
      </c>
      <c r="N9" s="8" t="n">
        <v>1943000000</v>
      </c>
      <c r="O9" s="8" t="n">
        <v>2673000000</v>
      </c>
    </row>
    <row r="10">
      <c r="A10" t="inlineStr">
        <is>
          <t>Home Depot</t>
        </is>
      </c>
      <c r="B10" s="7" t="n">
        <v>2025</v>
      </c>
      <c r="C10" s="8" t="n">
        <v>159514000000</v>
      </c>
      <c r="D10" s="8" t="n">
        <v>21526000000</v>
      </c>
      <c r="E10" s="8" t="n">
        <v>14806000000</v>
      </c>
      <c r="F10" s="8" t="n">
        <v>1659000000</v>
      </c>
      <c r="G10" s="8" t="n">
        <v>31683000000</v>
      </c>
      <c r="H10" s="8" t="n">
        <v>28661000000</v>
      </c>
      <c r="I10" s="8" t="n">
        <v>96119000000</v>
      </c>
      <c r="J10" s="8" t="n">
        <v>51365000000</v>
      </c>
      <c r="K10" s="8" t="n">
        <v>6640000000</v>
      </c>
      <c r="L10" s="8" t="n">
        <v>19810000000</v>
      </c>
      <c r="M10" s="8" t="n">
        <v>3485000000</v>
      </c>
      <c r="N10" s="8" t="n">
        <v>2321000000</v>
      </c>
      <c r="O10" s="8" t="n">
        <v>3034000000</v>
      </c>
    </row>
    <row r="11">
      <c r="A11" t="inlineStr">
        <is>
          <t>Home Depot</t>
        </is>
      </c>
      <c r="B11" s="7" t="n">
        <v>2026</v>
      </c>
      <c r="C11" s="8" t="n">
        <v>164683000000</v>
      </c>
      <c r="D11" s="8" t="n">
        <v>20890000000</v>
      </c>
      <c r="E11" s="8" t="n">
        <v>14156000000</v>
      </c>
      <c r="F11" s="8" t="n">
        <v>1389000000</v>
      </c>
      <c r="G11" s="8" t="n">
        <v>34391000000</v>
      </c>
      <c r="H11" s="8" t="n">
        <v>32424000000</v>
      </c>
      <c r="I11" s="8" t="n">
        <v>105095000000</v>
      </c>
      <c r="J11" s="8" t="n">
        <v>49397000000</v>
      </c>
      <c r="K11" s="8" t="n">
        <v>12813000000</v>
      </c>
      <c r="L11" s="8" t="n">
        <v>16325000000</v>
      </c>
      <c r="M11" s="8" t="n">
        <v>3679000000</v>
      </c>
      <c r="N11" s="8" t="n">
        <v>2412000000</v>
      </c>
      <c r="O11" s="8" t="n">
        <v>3273000000</v>
      </c>
    </row>
    <row r="12">
      <c r="A12" t="inlineStr">
        <is>
          <t>Lowes</t>
        </is>
      </c>
      <c r="B12" s="7" t="n">
        <v>2022</v>
      </c>
      <c r="C12" s="8" t="n">
        <v>96250000000</v>
      </c>
      <c r="D12" s="8" t="n">
        <v>12093000000</v>
      </c>
      <c r="E12" s="8" t="n">
        <v>8442000000</v>
      </c>
      <c r="F12" s="8" t="n">
        <v>1133000000</v>
      </c>
      <c r="G12" s="8" t="n">
        <v>20060000000</v>
      </c>
      <c r="H12" s="8" t="n">
        <v>19668000000</v>
      </c>
      <c r="I12" s="8" t="n">
        <v>44640000000</v>
      </c>
      <c r="J12" s="8" t="n">
        <v>24285000000</v>
      </c>
      <c r="K12" s="8" t="n">
        <v>-4816000000</v>
      </c>
      <c r="L12" s="8" t="n">
        <v>10113000000</v>
      </c>
      <c r="M12" s="8" t="n">
        <v>1853000000</v>
      </c>
      <c r="N12" s="8" t="n">
        <v>827000000</v>
      </c>
      <c r="O12" s="8" t="n">
        <v>1662000000</v>
      </c>
    </row>
    <row r="13">
      <c r="A13" t="inlineStr">
        <is>
          <t>Lowes</t>
        </is>
      </c>
      <c r="B13" s="7" t="n">
        <v>2023</v>
      </c>
      <c r="C13" s="8" t="n">
        <v>97059000000</v>
      </c>
      <c r="D13" s="8" t="n">
        <v>10159000000</v>
      </c>
      <c r="E13" s="8" t="n">
        <v>6437000000</v>
      </c>
      <c r="F13" s="8" t="n">
        <v>1348000000</v>
      </c>
      <c r="G13" s="8" t="n">
        <v>21442000000</v>
      </c>
      <c r="H13" s="8" t="n">
        <v>19511000000</v>
      </c>
      <c r="I13" s="8" t="n">
        <v>43708000000</v>
      </c>
      <c r="J13" s="8" t="n">
        <v>33270000000</v>
      </c>
      <c r="K13" s="8" t="n">
        <v>-14254000000</v>
      </c>
      <c r="L13" s="8" t="n">
        <v>8589000000</v>
      </c>
      <c r="M13" s="8" t="n">
        <v>1829000000</v>
      </c>
      <c r="N13" s="8" t="n">
        <v>1108000000</v>
      </c>
      <c r="O13" s="8" t="n">
        <v>1766000000</v>
      </c>
    </row>
    <row r="14">
      <c r="A14" t="inlineStr">
        <is>
          <t>Lowes</t>
        </is>
      </c>
      <c r="B14" s="7" t="n">
        <v>2024</v>
      </c>
      <c r="C14" s="8" t="n">
        <v>86377000000</v>
      </c>
      <c r="D14" s="8" t="n">
        <v>11557000000</v>
      </c>
      <c r="E14" s="8" t="n">
        <v>7726000000</v>
      </c>
      <c r="F14" s="8" t="n">
        <v>921000000</v>
      </c>
      <c r="G14" s="8" t="n">
        <v>19071000000</v>
      </c>
      <c r="H14" s="8" t="n">
        <v>15568000000</v>
      </c>
      <c r="I14" s="8" t="n">
        <v>41795000000</v>
      </c>
      <c r="J14" s="8" t="n">
        <v>35770000000</v>
      </c>
      <c r="K14" s="8" t="n">
        <v>-15050000000</v>
      </c>
      <c r="L14" s="8" t="n">
        <v>8140000000</v>
      </c>
      <c r="M14" s="8" t="n">
        <v>1964000000</v>
      </c>
      <c r="N14" s="8" t="n">
        <v>1438000000</v>
      </c>
      <c r="O14" s="8" t="n">
        <v>1717000000</v>
      </c>
    </row>
    <row r="15">
      <c r="A15" t="inlineStr">
        <is>
          <t>Lowes</t>
        </is>
      </c>
      <c r="B15" s="7" t="n">
        <v>2025</v>
      </c>
      <c r="C15" s="8" t="n">
        <v>83674000000</v>
      </c>
      <c r="D15" s="8" t="n">
        <v>10466000000</v>
      </c>
      <c r="E15" s="8" t="n">
        <v>6957000000</v>
      </c>
      <c r="F15" s="8" t="n">
        <v>1761000000</v>
      </c>
      <c r="G15" s="8" t="n">
        <v>20358000000</v>
      </c>
      <c r="H15" s="8" t="n">
        <v>18757000000</v>
      </c>
      <c r="I15" s="8" t="n">
        <v>43102000000</v>
      </c>
      <c r="J15" s="8" t="n">
        <v>35319000000</v>
      </c>
      <c r="K15" s="8" t="n">
        <v>-14231000000</v>
      </c>
      <c r="L15" s="8" t="n">
        <v>9625000000</v>
      </c>
      <c r="M15" s="8" t="n">
        <v>1927000000</v>
      </c>
      <c r="N15" s="8" t="n">
        <v>1452000000</v>
      </c>
      <c r="O15" s="8" t="n">
        <v>1729000000</v>
      </c>
    </row>
    <row r="16">
      <c r="A16" t="inlineStr">
        <is>
          <t>Lowes</t>
        </is>
      </c>
      <c r="B16" s="7" t="n">
        <v>2026</v>
      </c>
      <c r="C16" s="8" t="n">
        <v>86286000000</v>
      </c>
      <c r="D16" s="8" t="n">
        <v>10153000000</v>
      </c>
      <c r="E16" s="8" t="n">
        <v>6654000000</v>
      </c>
      <c r="F16" s="8" t="n">
        <v>982000000</v>
      </c>
      <c r="G16" s="8" t="n">
        <v>20955000000</v>
      </c>
      <c r="H16" s="8" t="n">
        <v>19463000000</v>
      </c>
      <c r="I16" s="8" t="n">
        <v>54144000000</v>
      </c>
      <c r="J16" s="8" t="n">
        <v>39819000000</v>
      </c>
      <c r="K16" s="8" t="n">
        <v>-9917000000</v>
      </c>
      <c r="L16" s="8" t="n">
        <v>9864000000</v>
      </c>
      <c r="M16" s="8" t="n">
        <v>2213000000</v>
      </c>
      <c r="N16" s="8" t="n">
        <v>1487000000</v>
      </c>
      <c r="O16" s="8" t="n">
        <v>1941000000</v>
      </c>
    </row>
    <row r="17">
      <c r="A17" t="inlineStr">
        <is>
          <t>Target</t>
        </is>
      </c>
      <c r="B17" s="7" t="n">
        <v>2022</v>
      </c>
      <c r="C17" s="8" t="n">
        <v>106005000000</v>
      </c>
      <c r="D17" s="8" t="n">
        <v>8946000000</v>
      </c>
      <c r="E17" s="8" t="n">
        <v>6946000000</v>
      </c>
      <c r="F17" s="8" t="n">
        <v>5911000000</v>
      </c>
      <c r="G17" s="8" t="n">
        <v>21573000000</v>
      </c>
      <c r="H17" s="8" t="n">
        <v>21747000000</v>
      </c>
      <c r="I17" s="8" t="n">
        <v>53811000000</v>
      </c>
      <c r="J17" s="8" t="n">
        <v>11568000000</v>
      </c>
      <c r="K17" s="8" t="n">
        <v>12827000000</v>
      </c>
      <c r="L17" s="8" t="n">
        <v>8625000000</v>
      </c>
      <c r="M17" s="8" t="n">
        <v>3544000000</v>
      </c>
      <c r="N17" s="8" t="n">
        <v>421000000</v>
      </c>
      <c r="O17" s="8" t="n">
        <v>2344000000</v>
      </c>
    </row>
    <row r="18">
      <c r="A18" t="inlineStr">
        <is>
          <t>Target</t>
        </is>
      </c>
      <c r="B18" s="7" t="n">
        <v>2023</v>
      </c>
      <c r="C18" s="8" t="n">
        <v>109120000000</v>
      </c>
      <c r="D18" s="8" t="n">
        <v>3848000000</v>
      </c>
      <c r="E18" s="8" t="n">
        <v>2780000000</v>
      </c>
      <c r="F18" s="8" t="n">
        <v>2229000000</v>
      </c>
      <c r="G18" s="8" t="n">
        <v>17846000000</v>
      </c>
      <c r="H18" s="8" t="n">
        <v>19500000000</v>
      </c>
      <c r="I18" s="8" t="n">
        <v>53335000000</v>
      </c>
      <c r="J18" s="8" t="n">
        <v>14141000000</v>
      </c>
      <c r="K18" s="8" t="n">
        <v>11232000000</v>
      </c>
      <c r="L18" s="8" t="n">
        <v>4018000000</v>
      </c>
      <c r="M18" s="8" t="n">
        <v>5528000000</v>
      </c>
      <c r="N18" s="8" t="n">
        <v>478000000</v>
      </c>
      <c r="O18" s="8" t="n">
        <v>2385000000</v>
      </c>
    </row>
    <row r="19">
      <c r="A19" t="inlineStr">
        <is>
          <t>Target</t>
        </is>
      </c>
      <c r="B19" s="7" t="n">
        <v>2024</v>
      </c>
      <c r="C19" s="8" t="n">
        <v>107412000000</v>
      </c>
      <c r="D19" s="8" t="n">
        <v>5707000000</v>
      </c>
      <c r="E19" s="8" t="n">
        <v>4138000000</v>
      </c>
      <c r="F19" s="8" t="n">
        <v>3805000000</v>
      </c>
      <c r="G19" s="8" t="n">
        <v>17498000000</v>
      </c>
      <c r="H19" s="8" t="n">
        <v>19304000000</v>
      </c>
      <c r="I19" s="8" t="n">
        <v>55356000000</v>
      </c>
      <c r="J19" s="8" t="n">
        <v>14151000000</v>
      </c>
      <c r="K19" s="8" t="n">
        <v>13432000000</v>
      </c>
      <c r="L19" s="8" t="n">
        <v>8621000000</v>
      </c>
      <c r="M19" s="8" t="n">
        <v>4806000000</v>
      </c>
      <c r="N19" s="8" t="n">
        <v>502000000</v>
      </c>
      <c r="O19" s="8" t="n">
        <v>2415000000</v>
      </c>
    </row>
    <row r="20">
      <c r="A20" t="inlineStr">
        <is>
          <t>Target</t>
        </is>
      </c>
      <c r="B20" s="7" t="n">
        <v>2025</v>
      </c>
      <c r="C20" s="8" t="n">
        <v>106566000000</v>
      </c>
      <c r="D20" s="8" t="n">
        <v>5566000000</v>
      </c>
      <c r="E20" s="8" t="n">
        <v>4091000000</v>
      </c>
      <c r="F20" s="8" t="n">
        <v>4762000000</v>
      </c>
      <c r="G20" s="8" t="n">
        <v>19454000000</v>
      </c>
      <c r="H20" s="8" t="n">
        <v>20799000000</v>
      </c>
      <c r="I20" s="8" t="n">
        <v>57769000000</v>
      </c>
      <c r="J20" s="8" t="n">
        <v>13904000000</v>
      </c>
      <c r="K20" s="8" t="n">
        <v>14666000000</v>
      </c>
      <c r="L20" s="8" t="n">
        <v>7367000000</v>
      </c>
      <c r="M20" s="8" t="n">
        <v>2891000000</v>
      </c>
      <c r="N20" s="8" t="n">
        <v>411000000</v>
      </c>
      <c r="O20" s="8" t="n">
        <v>2529000000</v>
      </c>
    </row>
    <row r="21">
      <c r="A21" t="inlineStr">
        <is>
          <t>Target</t>
        </is>
      </c>
      <c r="B21" s="7" t="n">
        <v>2026</v>
      </c>
      <c r="C21" s="8" t="n">
        <v>104780000000</v>
      </c>
      <c r="D21" s="8" t="n">
        <v>5117000000</v>
      </c>
      <c r="E21" s="8" t="n">
        <v>3705000000</v>
      </c>
      <c r="F21" s="8" t="n">
        <v>5488000000</v>
      </c>
      <c r="G21" s="8" t="n">
        <v>20005000000</v>
      </c>
      <c r="H21" s="8" t="n">
        <v>21230000000</v>
      </c>
      <c r="I21" s="8" t="n">
        <v>59490000000</v>
      </c>
      <c r="J21" s="8" t="n">
        <v>14398000000</v>
      </c>
      <c r="K21" s="8" t="n">
        <v>16165000000</v>
      </c>
      <c r="L21" s="8" t="n">
        <v>6562000000</v>
      </c>
      <c r="M21" s="8" t="n">
        <v>3727000000</v>
      </c>
      <c r="N21" s="8" t="n">
        <v>445000000</v>
      </c>
      <c r="O21" s="8" t="n">
        <v>2617000000</v>
      </c>
    </row>
    <row r="22">
      <c r="A22" t="inlineStr">
        <is>
          <t>Walmart</t>
        </is>
      </c>
      <c r="B22" s="7" t="n">
        <v>2022</v>
      </c>
      <c r="C22" s="8" t="n">
        <v>567762000000</v>
      </c>
      <c r="D22" s="8" t="n">
        <v>25942000000</v>
      </c>
      <c r="E22" s="8" t="n">
        <v>13673000000</v>
      </c>
      <c r="F22" s="8" t="n">
        <v>14760000000</v>
      </c>
      <c r="G22" s="8" t="n">
        <v>81070000000</v>
      </c>
      <c r="H22" s="8" t="n">
        <v>87379000000</v>
      </c>
      <c r="I22" s="8" t="n">
        <v>244860000000</v>
      </c>
      <c r="J22" s="8" t="n">
        <v>37667000000</v>
      </c>
      <c r="K22" s="8" t="n">
        <v>83253000000</v>
      </c>
      <c r="L22" s="8" t="n">
        <v>24181000000</v>
      </c>
      <c r="M22" s="8" t="n">
        <v>13106000000</v>
      </c>
      <c r="N22" s="8" t="n">
        <v>1674000000</v>
      </c>
      <c r="O22" s="8" t="n">
        <v>10658000000</v>
      </c>
    </row>
    <row r="23">
      <c r="A23" t="inlineStr">
        <is>
          <t>Walmart</t>
        </is>
      </c>
      <c r="B23" s="7" t="n">
        <v>2023</v>
      </c>
      <c r="C23" s="8" t="n">
        <v>605881000000</v>
      </c>
      <c r="D23" s="8" t="n">
        <v>20428000000</v>
      </c>
      <c r="E23" s="8" t="n">
        <v>11680000000</v>
      </c>
      <c r="F23" s="8" t="n">
        <v>8625000000</v>
      </c>
      <c r="G23" s="8" t="n">
        <v>75655000000</v>
      </c>
      <c r="H23" s="8" t="n">
        <v>92198000000</v>
      </c>
      <c r="I23" s="8" t="n">
        <v>243197000000</v>
      </c>
      <c r="J23" s="8" t="n">
        <v>38840000000</v>
      </c>
      <c r="K23" s="8" t="n">
        <v>76693000000</v>
      </c>
      <c r="L23" s="8" t="n">
        <v>28841000000</v>
      </c>
      <c r="M23" s="8" t="n">
        <v>16857000000</v>
      </c>
      <c r="N23" s="8" t="n">
        <v>1787000000</v>
      </c>
      <c r="O23" s="8" t="n">
        <v>10945000000</v>
      </c>
    </row>
    <row r="24">
      <c r="A24" t="inlineStr">
        <is>
          <t>Walmart</t>
        </is>
      </c>
      <c r="B24" s="7" t="n">
        <v>2024</v>
      </c>
      <c r="C24" s="8" t="n">
        <v>642637000000</v>
      </c>
      <c r="D24" s="8" t="n">
        <v>27012000000</v>
      </c>
      <c r="E24" s="8" t="n">
        <v>15511000000</v>
      </c>
      <c r="F24" s="8" t="n">
        <v>9867000000</v>
      </c>
      <c r="G24" s="8" t="n">
        <v>76877000000</v>
      </c>
      <c r="H24" s="8" t="n">
        <v>92415000000</v>
      </c>
      <c r="I24" s="8" t="n">
        <v>252399000000</v>
      </c>
      <c r="J24" s="8" t="n">
        <v>39579000000</v>
      </c>
      <c r="K24" s="8" t="n">
        <v>83861000000</v>
      </c>
      <c r="L24" s="8" t="n">
        <v>35726000000</v>
      </c>
      <c r="M24" s="8" t="n">
        <v>20606000000</v>
      </c>
      <c r="N24" s="8" t="n">
        <v>2259000000</v>
      </c>
      <c r="O24" s="8" t="n">
        <v>11853000000</v>
      </c>
    </row>
    <row r="25">
      <c r="A25" t="inlineStr">
        <is>
          <t>Walmart</t>
        </is>
      </c>
      <c r="B25" s="7" t="n">
        <v>2025</v>
      </c>
      <c r="C25" s="8" t="n">
        <v>674538000000</v>
      </c>
      <c r="D25" s="8" t="n">
        <v>29348000000</v>
      </c>
      <c r="E25" s="8" t="n">
        <v>19436000000</v>
      </c>
      <c r="F25" s="8" t="n">
        <v>9037000000</v>
      </c>
      <c r="G25" s="8" t="n">
        <v>79458000000</v>
      </c>
      <c r="H25" s="8" t="n">
        <v>96584000000</v>
      </c>
      <c r="I25" s="8" t="n">
        <v>260823000000</v>
      </c>
      <c r="J25" s="8" t="n">
        <v>35999000000</v>
      </c>
      <c r="K25" s="8" t="n">
        <v>91013000000</v>
      </c>
      <c r="L25" s="8" t="n">
        <v>36443000000</v>
      </c>
      <c r="M25" s="8" t="n">
        <v>23783000000</v>
      </c>
      <c r="N25" s="8" t="n">
        <v>2249000000</v>
      </c>
      <c r="O25" s="8" t="n">
        <v>12973000000</v>
      </c>
    </row>
    <row r="26">
      <c r="A26" t="inlineStr">
        <is>
          <t>Walmart</t>
        </is>
      </c>
      <c r="B26" s="7" t="n">
        <v>2026</v>
      </c>
      <c r="C26" s="8" t="n">
        <v>706413000000</v>
      </c>
      <c r="D26" s="8" t="n">
        <v>29825000000</v>
      </c>
      <c r="E26" s="8" t="n">
        <v>21893000000</v>
      </c>
      <c r="F26" s="8" t="n">
        <v>10727000000</v>
      </c>
      <c r="G26" s="8" t="n">
        <v>84874000000</v>
      </c>
      <c r="H26" s="8" t="n">
        <v>107469000000</v>
      </c>
      <c r="I26" s="8" t="n">
        <v>284668000000</v>
      </c>
      <c r="J26" s="8" t="n">
        <v>38166000000</v>
      </c>
      <c r="K26" s="8" t="n">
        <v>99617000000</v>
      </c>
      <c r="L26" s="8" t="n">
        <v>41565000000</v>
      </c>
      <c r="M26" s="8" t="n">
        <v>26642000000</v>
      </c>
      <c r="N26" s="8" t="n">
        <v>2318000000</v>
      </c>
      <c r="O26" s="8" t="n">
        <v>14203000000</v>
      </c>
    </row>
  </sheetData>
  <autoFilter ref="A1:O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21" customWidth="1" min="8" max="8"/>
    <col width="14" customWidth="1" min="9" max="9"/>
    <col width="13" customWidth="1" min="10" max="10"/>
    <col width="14" customWidth="1" min="11" max="11"/>
    <col width="21" customWidth="1" min="12" max="12"/>
    <col width="13" customWidth="1" min="13" max="13"/>
    <col width="18" customWidth="1" min="14" max="14"/>
    <col width="27" customWidth="1" min="15" max="15"/>
    <col width="18" customWidth="1" min="16" max="16"/>
    <col width="23" customWidth="1" min="17" max="17"/>
    <col width="21" customWidth="1" min="18" max="18"/>
    <col width="16" customWidth="1" min="19" max="19"/>
    <col width="20" customWidth="1" min="20" max="20"/>
    <col width="20" customWidth="1" min="21" max="21"/>
    <col width="19" customWidth="1" min="22" max="22"/>
    <col width="13" customWidth="1" min="23" max="23"/>
    <col width="20" customWidth="1" min="24" max="24"/>
    <col width="20" customWidth="1" min="25" max="25"/>
  </cols>
  <sheetData>
    <row r="1">
      <c r="A1" s="1" t="inlineStr">
        <is>
          <t>company</t>
        </is>
      </c>
      <c r="B1" s="1" t="inlineStr">
        <is>
          <t>fiscal_year</t>
        </is>
      </c>
      <c r="C1" s="1" t="inlineStr">
        <is>
          <t>revenue</t>
        </is>
      </c>
      <c r="D1" s="1" t="inlineStr">
        <is>
          <t>operating_income</t>
        </is>
      </c>
      <c r="E1" s="1" t="inlineStr">
        <is>
          <t>net_income</t>
        </is>
      </c>
      <c r="F1" s="1" t="inlineStr">
        <is>
          <t>cash</t>
        </is>
      </c>
      <c r="G1" s="1" t="inlineStr">
        <is>
          <t>current_assets</t>
        </is>
      </c>
      <c r="H1" s="1" t="inlineStr">
        <is>
          <t>current_liabilities</t>
        </is>
      </c>
      <c r="I1" s="1" t="inlineStr">
        <is>
          <t>total_assets</t>
        </is>
      </c>
      <c r="J1" s="1" t="inlineStr">
        <is>
          <t>total_debt</t>
        </is>
      </c>
      <c r="K1" s="1" t="inlineStr">
        <is>
          <t>equity</t>
        </is>
      </c>
      <c r="L1" s="1" t="inlineStr">
        <is>
          <t>operating_cash_flow</t>
        </is>
      </c>
      <c r="M1" s="1" t="inlineStr">
        <is>
          <t>capex</t>
        </is>
      </c>
      <c r="N1" s="1" t="inlineStr">
        <is>
          <t>interest_expense</t>
        </is>
      </c>
      <c r="O1" s="1" t="inlineStr">
        <is>
          <t>depreciation_amortization</t>
        </is>
      </c>
      <c r="P1" s="1" t="inlineStr">
        <is>
          <t>previous_revenue</t>
        </is>
      </c>
      <c r="Q1" s="1" t="inlineStr">
        <is>
          <t>revenue_growth</t>
        </is>
      </c>
      <c r="R1" s="1" t="inlineStr">
        <is>
          <t>operating_margin</t>
        </is>
      </c>
      <c r="S1" s="1" t="inlineStr">
        <is>
          <t>free_cash_flow</t>
        </is>
      </c>
      <c r="T1" s="1" t="inlineStr">
        <is>
          <t>current_ratio</t>
        </is>
      </c>
      <c r="U1" s="1" t="inlineStr">
        <is>
          <t>debt_to_equity</t>
        </is>
      </c>
      <c r="V1" s="1" t="inlineStr">
        <is>
          <t>interest_coverage</t>
        </is>
      </c>
      <c r="W1" s="1" t="inlineStr">
        <is>
          <t>ebitda</t>
        </is>
      </c>
      <c r="X1" s="1" t="inlineStr">
        <is>
          <t>debt_to_ebitda</t>
        </is>
      </c>
      <c r="Y1" s="1" t="inlineStr">
        <is>
          <t>ocf_to_debt</t>
        </is>
      </c>
    </row>
    <row r="2">
      <c r="A2" t="inlineStr">
        <is>
          <t>Costco</t>
        </is>
      </c>
      <c r="B2" t="n">
        <v>2021</v>
      </c>
      <c r="C2" t="n">
        <v>195929000000</v>
      </c>
      <c r="D2" t="n">
        <v>6708000000</v>
      </c>
      <c r="E2" t="n">
        <v>5007000000</v>
      </c>
      <c r="F2" t="n">
        <v>11258000000</v>
      </c>
      <c r="G2" t="n">
        <v>29505000000</v>
      </c>
      <c r="H2" t="n">
        <v>29441000000</v>
      </c>
      <c r="I2" t="n">
        <v>59268000000</v>
      </c>
      <c r="J2" t="n">
        <v>7531000000</v>
      </c>
      <c r="K2" t="n">
        <v>17564000000</v>
      </c>
      <c r="L2" t="n">
        <v>8958000000</v>
      </c>
      <c r="M2" t="n">
        <v>3588000000</v>
      </c>
      <c r="N2" t="n">
        <v>171000000</v>
      </c>
      <c r="O2" t="n">
        <v>1781000000</v>
      </c>
      <c r="R2" t="n">
        <v>0.03423689193534393</v>
      </c>
      <c r="S2" t="n">
        <v>5370000000</v>
      </c>
      <c r="T2" t="n">
        <v>1.002173839203831</v>
      </c>
      <c r="U2" t="n">
        <v>0.42877476656798</v>
      </c>
      <c r="V2" t="n">
        <v>39.2280701754386</v>
      </c>
      <c r="W2" t="n">
        <v>8489000000</v>
      </c>
      <c r="X2" t="n">
        <v>0.8871480739780893</v>
      </c>
      <c r="Y2" t="n">
        <v>1.189483468330899</v>
      </c>
    </row>
    <row r="3">
      <c r="A3" t="inlineStr">
        <is>
          <t>Costco</t>
        </is>
      </c>
      <c r="B3" t="n">
        <v>2022</v>
      </c>
      <c r="C3" t="n">
        <v>226954000000</v>
      </c>
      <c r="D3" t="n">
        <v>7793000000</v>
      </c>
      <c r="E3" t="n">
        <v>5844000000</v>
      </c>
      <c r="F3" t="n">
        <v>10203000000</v>
      </c>
      <c r="G3" t="n">
        <v>32696000000</v>
      </c>
      <c r="H3" t="n">
        <v>31998000000</v>
      </c>
      <c r="I3" t="n">
        <v>64166000000</v>
      </c>
      <c r="J3" t="n">
        <v>6590000000</v>
      </c>
      <c r="K3" t="n">
        <v>20642000000</v>
      </c>
      <c r="L3" t="n">
        <v>7392000000</v>
      </c>
      <c r="M3" t="n">
        <v>3891000000</v>
      </c>
      <c r="N3" t="n">
        <v>158000000</v>
      </c>
      <c r="O3" t="n">
        <v>1900000000</v>
      </c>
      <c r="P3" t="n">
        <v>195929000000</v>
      </c>
      <c r="Q3" t="n">
        <v>0.1583481771458028</v>
      </c>
      <c r="R3" t="n">
        <v>0.03433735470624003</v>
      </c>
      <c r="S3" t="n">
        <v>3501000000</v>
      </c>
      <c r="T3" t="n">
        <v>1.02181386336646</v>
      </c>
      <c r="U3" t="n">
        <v>0.3192520104641023</v>
      </c>
      <c r="V3" t="n">
        <v>49.32278481012658</v>
      </c>
      <c r="W3" t="n">
        <v>9693000000</v>
      </c>
      <c r="X3" t="n">
        <v>0.6798720726297328</v>
      </c>
      <c r="Y3" t="n">
        <v>1.121699544764795</v>
      </c>
    </row>
    <row r="4">
      <c r="A4" t="inlineStr">
        <is>
          <t>Costco</t>
        </is>
      </c>
      <c r="B4" t="n">
        <v>2023</v>
      </c>
      <c r="C4" t="n">
        <v>242290000000</v>
      </c>
      <c r="D4" t="n">
        <v>8114000000</v>
      </c>
      <c r="E4" t="n">
        <v>6292000000</v>
      </c>
      <c r="F4" t="n">
        <v>13700000000</v>
      </c>
      <c r="G4" t="n">
        <v>35879000000</v>
      </c>
      <c r="H4" t="n">
        <v>33583000000</v>
      </c>
      <c r="I4" t="n">
        <v>68994000000</v>
      </c>
      <c r="J4" t="n">
        <v>6484000000</v>
      </c>
      <c r="K4" t="n">
        <v>25058000000</v>
      </c>
      <c r="L4" t="n">
        <v>11068000000</v>
      </c>
      <c r="M4" t="n">
        <v>4323000000</v>
      </c>
      <c r="N4" t="n">
        <v>160000000</v>
      </c>
      <c r="O4" t="n">
        <v>2077000000</v>
      </c>
      <c r="P4" t="n">
        <v>226954000000</v>
      </c>
      <c r="Q4" t="n">
        <v>0.06757316460604351</v>
      </c>
      <c r="R4" t="n">
        <v>0.03348879441991003</v>
      </c>
      <c r="S4" t="n">
        <v>6745000000</v>
      </c>
      <c r="T4" t="n">
        <v>1.068367924247387</v>
      </c>
      <c r="U4" t="n">
        <v>0.2587596775480884</v>
      </c>
      <c r="V4" t="n">
        <v>50.7125</v>
      </c>
      <c r="W4" t="n">
        <v>10191000000</v>
      </c>
      <c r="X4" t="n">
        <v>0.6362476695123148</v>
      </c>
      <c r="Y4" t="n">
        <v>1.706971005552128</v>
      </c>
    </row>
    <row r="5">
      <c r="A5" t="inlineStr">
        <is>
          <t>Costco</t>
        </is>
      </c>
      <c r="B5" t="n">
        <v>2024</v>
      </c>
      <c r="C5" t="n">
        <v>254453000000</v>
      </c>
      <c r="D5" t="n">
        <v>9285000000</v>
      </c>
      <c r="E5" t="n">
        <v>7367000000</v>
      </c>
      <c r="F5" t="n">
        <v>9906000000</v>
      </c>
      <c r="G5" t="n">
        <v>34246000000</v>
      </c>
      <c r="H5" t="n">
        <v>35464000000</v>
      </c>
      <c r="I5" t="n">
        <v>69831000000</v>
      </c>
      <c r="J5" t="n">
        <v>5919000000</v>
      </c>
      <c r="K5" t="n">
        <v>23622000000</v>
      </c>
      <c r="L5" t="n">
        <v>11339000000</v>
      </c>
      <c r="M5" t="n">
        <v>4710000000</v>
      </c>
      <c r="N5" t="n">
        <v>169000000</v>
      </c>
      <c r="O5" t="n">
        <v>2237000000</v>
      </c>
      <c r="P5" t="n">
        <v>242290000000</v>
      </c>
      <c r="Q5" t="n">
        <v>0.05020017334599034</v>
      </c>
      <c r="R5" t="n">
        <v>0.03649003941788857</v>
      </c>
      <c r="S5" t="n">
        <v>6629000000</v>
      </c>
      <c r="T5" t="n">
        <v>0.965655312429506</v>
      </c>
      <c r="U5" t="n">
        <v>0.2505715011430023</v>
      </c>
      <c r="V5" t="n">
        <v>54.94082840236686</v>
      </c>
      <c r="W5" t="n">
        <v>11522000000</v>
      </c>
      <c r="X5" t="n">
        <v>0.5137128970664815</v>
      </c>
      <c r="Y5" t="n">
        <v>1.915695218786957</v>
      </c>
    </row>
    <row r="6">
      <c r="A6" t="inlineStr">
        <is>
          <t>Costco</t>
        </is>
      </c>
      <c r="B6" t="n">
        <v>2025</v>
      </c>
      <c r="C6" t="n">
        <v>275235000000</v>
      </c>
      <c r="D6" t="n">
        <v>10383000000</v>
      </c>
      <c r="E6" t="n">
        <v>8099000000</v>
      </c>
      <c r="F6" t="n">
        <v>14161000000</v>
      </c>
      <c r="G6" t="n">
        <v>38380000000</v>
      </c>
      <c r="H6" t="n">
        <v>37108000000</v>
      </c>
      <c r="I6" t="n">
        <v>77099000000</v>
      </c>
      <c r="J6" t="n">
        <v>5805000000</v>
      </c>
      <c r="K6" t="n">
        <v>29164000000</v>
      </c>
      <c r="L6" t="n">
        <v>13335000000</v>
      </c>
      <c r="M6" t="n">
        <v>5498000000</v>
      </c>
      <c r="N6" t="n">
        <v>154000000</v>
      </c>
      <c r="O6" t="n">
        <v>2426000000</v>
      </c>
      <c r="P6" t="n">
        <v>254453000000</v>
      </c>
      <c r="Q6" t="n">
        <v>0.08167323631476146</v>
      </c>
      <c r="R6" t="n">
        <v>0.03772412665540356</v>
      </c>
      <c r="S6" t="n">
        <v>7837000000</v>
      </c>
      <c r="T6" t="n">
        <v>1.034278322733642</v>
      </c>
      <c r="U6" t="n">
        <v>0.1990467699903991</v>
      </c>
      <c r="V6" t="n">
        <v>67.42207792207792</v>
      </c>
      <c r="W6" t="n">
        <v>12809000000</v>
      </c>
      <c r="X6" t="n">
        <v>0.4531969708798501</v>
      </c>
      <c r="Y6" t="n">
        <v>2.297157622739018</v>
      </c>
    </row>
    <row r="7">
      <c r="A7" t="inlineStr">
        <is>
          <t>Home Depot</t>
        </is>
      </c>
      <c r="B7" t="n">
        <v>2022</v>
      </c>
      <c r="C7" t="n">
        <v>151157000000</v>
      </c>
      <c r="D7" t="n">
        <v>23040000000</v>
      </c>
      <c r="E7" t="n">
        <v>16433000000</v>
      </c>
      <c r="F7" t="n">
        <v>2343000000</v>
      </c>
      <c r="G7" t="n">
        <v>29055000000</v>
      </c>
      <c r="H7" t="n">
        <v>28693000000</v>
      </c>
      <c r="I7" t="n">
        <v>71876000000</v>
      </c>
      <c r="J7" t="n">
        <v>36400000000</v>
      </c>
      <c r="K7" t="n">
        <v>-1696000000</v>
      </c>
      <c r="L7" t="n">
        <v>16571000000</v>
      </c>
      <c r="M7" t="n">
        <v>2566000000</v>
      </c>
      <c r="N7" t="n">
        <v>1347000000</v>
      </c>
      <c r="O7" t="n">
        <v>2386000000</v>
      </c>
      <c r="R7" t="n">
        <v>0.1524243005616677</v>
      </c>
      <c r="S7" t="n">
        <v>14005000000</v>
      </c>
      <c r="T7" t="n">
        <v>1.012616317568745</v>
      </c>
      <c r="U7" t="n">
        <v>-21.4622641509434</v>
      </c>
      <c r="V7" t="n">
        <v>17.10467706013363</v>
      </c>
      <c r="W7" t="n">
        <v>25426000000</v>
      </c>
      <c r="X7" t="n">
        <v>1.43160544324707</v>
      </c>
      <c r="Y7" t="n">
        <v>0.4552472527472528</v>
      </c>
    </row>
    <row r="8">
      <c r="A8" t="inlineStr">
        <is>
          <t>Home Depot</t>
        </is>
      </c>
      <c r="B8" t="n">
        <v>2023</v>
      </c>
      <c r="C8" t="n">
        <v>157403000000</v>
      </c>
      <c r="D8" t="n">
        <v>24039000000</v>
      </c>
      <c r="E8" t="n">
        <v>17105000000</v>
      </c>
      <c r="F8" t="n">
        <v>2757000000</v>
      </c>
      <c r="G8" t="n">
        <v>32471000000</v>
      </c>
      <c r="H8" t="n">
        <v>23110000000</v>
      </c>
      <c r="I8" t="n">
        <v>76445000000</v>
      </c>
      <c r="J8" t="n">
        <v>41150000000</v>
      </c>
      <c r="K8" t="n">
        <v>1562000000</v>
      </c>
      <c r="L8" t="n">
        <v>14615000000</v>
      </c>
      <c r="M8" t="n">
        <v>3119000000</v>
      </c>
      <c r="N8" t="n">
        <v>1617000000</v>
      </c>
      <c r="O8" t="n">
        <v>2455000000</v>
      </c>
      <c r="P8" t="n">
        <v>151157000000</v>
      </c>
      <c r="Q8" t="n">
        <v>0.04132127523038959</v>
      </c>
      <c r="R8" t="n">
        <v>0.1527226291747934</v>
      </c>
      <c r="S8" t="n">
        <v>11496000000</v>
      </c>
      <c r="T8" t="n">
        <v>1.405062743401125</v>
      </c>
      <c r="U8" t="n">
        <v>26.34443021766965</v>
      </c>
      <c r="V8" t="n">
        <v>14.86641929499072</v>
      </c>
      <c r="W8" t="n">
        <v>26494000000</v>
      </c>
      <c r="X8" t="n">
        <v>1.553181852494905</v>
      </c>
      <c r="Y8" t="n">
        <v>0.3551640340218712</v>
      </c>
    </row>
    <row r="9">
      <c r="A9" t="inlineStr">
        <is>
          <t>Home Depot</t>
        </is>
      </c>
      <c r="B9" t="n">
        <v>2024</v>
      </c>
      <c r="C9" t="n">
        <v>152669000000</v>
      </c>
      <c r="D9" t="n">
        <v>21689000000</v>
      </c>
      <c r="E9" t="n">
        <v>15143000000</v>
      </c>
      <c r="F9" t="n">
        <v>3760000000</v>
      </c>
      <c r="G9" t="n">
        <v>29775000000</v>
      </c>
      <c r="H9" t="n">
        <v>22015000000</v>
      </c>
      <c r="I9" t="n">
        <v>76530000000</v>
      </c>
      <c r="J9" t="n">
        <v>42150000000</v>
      </c>
      <c r="K9" t="n">
        <v>1044000000</v>
      </c>
      <c r="L9" t="n">
        <v>21172000000</v>
      </c>
      <c r="M9" t="n">
        <v>3226000000</v>
      </c>
      <c r="N9" t="n">
        <v>1943000000</v>
      </c>
      <c r="O9" t="n">
        <v>2673000000</v>
      </c>
      <c r="P9" t="n">
        <v>157403000000</v>
      </c>
      <c r="Q9" t="n">
        <v>-0.03007566564804991</v>
      </c>
      <c r="R9" t="n">
        <v>0.1420655142825328</v>
      </c>
      <c r="S9" t="n">
        <v>17946000000</v>
      </c>
      <c r="T9" t="n">
        <v>1.352486940722235</v>
      </c>
      <c r="U9" t="n">
        <v>40.37356321839081</v>
      </c>
      <c r="V9" t="n">
        <v>11.16263510036027</v>
      </c>
      <c r="W9" t="n">
        <v>24362000000</v>
      </c>
      <c r="X9" t="n">
        <v>1.730153517773582</v>
      </c>
      <c r="Y9" t="n">
        <v>0.5023013048635825</v>
      </c>
    </row>
    <row r="10">
      <c r="A10" t="inlineStr">
        <is>
          <t>Home Depot</t>
        </is>
      </c>
      <c r="B10" t="n">
        <v>2025</v>
      </c>
      <c r="C10" t="n">
        <v>159514000000</v>
      </c>
      <c r="D10" t="n">
        <v>21526000000</v>
      </c>
      <c r="E10" t="n">
        <v>14806000000</v>
      </c>
      <c r="F10" t="n">
        <v>1659000000</v>
      </c>
      <c r="G10" t="n">
        <v>31683000000</v>
      </c>
      <c r="H10" t="n">
        <v>28661000000</v>
      </c>
      <c r="I10" t="n">
        <v>96119000000</v>
      </c>
      <c r="J10" t="n">
        <v>51365000000</v>
      </c>
      <c r="K10" t="n">
        <v>6640000000</v>
      </c>
      <c r="L10" t="n">
        <v>19810000000</v>
      </c>
      <c r="M10" t="n">
        <v>3485000000</v>
      </c>
      <c r="N10" t="n">
        <v>2321000000</v>
      </c>
      <c r="O10" t="n">
        <v>3034000000</v>
      </c>
      <c r="P10" t="n">
        <v>152669000000</v>
      </c>
      <c r="Q10" t="n">
        <v>0.04483555928184504</v>
      </c>
      <c r="R10" t="n">
        <v>0.13494740273581</v>
      </c>
      <c r="S10" t="n">
        <v>16325000000</v>
      </c>
      <c r="T10" t="n">
        <v>1.105439447332612</v>
      </c>
      <c r="U10" t="n">
        <v>7.735692771084337</v>
      </c>
      <c r="V10" t="n">
        <v>9.274450667815596</v>
      </c>
      <c r="W10" t="n">
        <v>24560000000</v>
      </c>
      <c r="X10" t="n">
        <v>2.091408794788274</v>
      </c>
      <c r="Y10" t="n">
        <v>0.3856711768714105</v>
      </c>
    </row>
    <row r="11">
      <c r="A11" t="inlineStr">
        <is>
          <t>Home Depot</t>
        </is>
      </c>
      <c r="B11" t="n">
        <v>2026</v>
      </c>
      <c r="C11" t="n">
        <v>164683000000</v>
      </c>
      <c r="D11" t="n">
        <v>20890000000</v>
      </c>
      <c r="E11" t="n">
        <v>14156000000</v>
      </c>
      <c r="F11" t="n">
        <v>1389000000</v>
      </c>
      <c r="G11" t="n">
        <v>34391000000</v>
      </c>
      <c r="H11" t="n">
        <v>32424000000</v>
      </c>
      <c r="I11" t="n">
        <v>105095000000</v>
      </c>
      <c r="J11" t="n">
        <v>49397000000</v>
      </c>
      <c r="K11" t="n">
        <v>12813000000</v>
      </c>
      <c r="L11" t="n">
        <v>16325000000</v>
      </c>
      <c r="M11" t="n">
        <v>3679000000</v>
      </c>
      <c r="N11" t="n">
        <v>2412000000</v>
      </c>
      <c r="O11" t="n">
        <v>3273000000</v>
      </c>
      <c r="P11" t="n">
        <v>159514000000</v>
      </c>
      <c r="Q11" t="n">
        <v>0.03240467921310982</v>
      </c>
      <c r="R11" t="n">
        <v>0.1268497659139073</v>
      </c>
      <c r="S11" t="n">
        <v>12646000000</v>
      </c>
      <c r="T11" t="n">
        <v>1.06066493955095</v>
      </c>
      <c r="U11" t="n">
        <v>3.8552251619449</v>
      </c>
      <c r="V11" t="n">
        <v>8.660862354892206</v>
      </c>
      <c r="W11" t="n">
        <v>24163000000</v>
      </c>
      <c r="X11" t="n">
        <v>2.044323966394901</v>
      </c>
      <c r="Y11" t="n">
        <v>0.3304856570237059</v>
      </c>
    </row>
    <row r="12">
      <c r="A12" t="inlineStr">
        <is>
          <t>Lowes</t>
        </is>
      </c>
      <c r="B12" t="n">
        <v>2022</v>
      </c>
      <c r="C12" t="n">
        <v>96250000000</v>
      </c>
      <c r="D12" t="n">
        <v>12093000000</v>
      </c>
      <c r="E12" t="n">
        <v>8442000000</v>
      </c>
      <c r="F12" t="n">
        <v>1133000000</v>
      </c>
      <c r="G12" t="n">
        <v>20060000000</v>
      </c>
      <c r="H12" t="n">
        <v>19668000000</v>
      </c>
      <c r="I12" t="n">
        <v>44640000000</v>
      </c>
      <c r="J12" t="n">
        <v>24285000000</v>
      </c>
      <c r="K12" t="n">
        <v>-4816000000</v>
      </c>
      <c r="L12" t="n">
        <v>10113000000</v>
      </c>
      <c r="M12" t="n">
        <v>1853000000</v>
      </c>
      <c r="N12" t="n">
        <v>827000000</v>
      </c>
      <c r="O12" t="n">
        <v>1662000000</v>
      </c>
      <c r="R12" t="n">
        <v>0.1256415584415584</v>
      </c>
      <c r="S12" t="n">
        <v>8260000000</v>
      </c>
      <c r="T12" t="n">
        <v>1.019930852145617</v>
      </c>
      <c r="U12" t="n">
        <v>-5.042566445182724</v>
      </c>
      <c r="V12" t="n">
        <v>14.62273276904474</v>
      </c>
      <c r="W12" t="n">
        <v>13755000000</v>
      </c>
      <c r="X12" t="n">
        <v>1.765539803707743</v>
      </c>
      <c r="Y12" t="n">
        <v>0.4164298949969117</v>
      </c>
    </row>
    <row r="13">
      <c r="A13" t="inlineStr">
        <is>
          <t>Lowes</t>
        </is>
      </c>
      <c r="B13" t="n">
        <v>2023</v>
      </c>
      <c r="C13" t="n">
        <v>97059000000</v>
      </c>
      <c r="D13" t="n">
        <v>10159000000</v>
      </c>
      <c r="E13" t="n">
        <v>6437000000</v>
      </c>
      <c r="F13" t="n">
        <v>1348000000</v>
      </c>
      <c r="G13" t="n">
        <v>21442000000</v>
      </c>
      <c r="H13" t="n">
        <v>19511000000</v>
      </c>
      <c r="I13" t="n">
        <v>43708000000</v>
      </c>
      <c r="J13" t="n">
        <v>33270000000</v>
      </c>
      <c r="K13" t="n">
        <v>-14254000000</v>
      </c>
      <c r="L13" t="n">
        <v>8589000000</v>
      </c>
      <c r="M13" t="n">
        <v>1829000000</v>
      </c>
      <c r="N13" t="n">
        <v>1108000000</v>
      </c>
      <c r="O13" t="n">
        <v>1766000000</v>
      </c>
      <c r="P13" t="n">
        <v>96250000000</v>
      </c>
      <c r="Q13" t="n">
        <v>0.008405194805194804</v>
      </c>
      <c r="R13" t="n">
        <v>0.1046682945424948</v>
      </c>
      <c r="S13" t="n">
        <v>6760000000</v>
      </c>
      <c r="T13" t="n">
        <v>1.098969811900979</v>
      </c>
      <c r="U13" t="n">
        <v>-2.334081661288059</v>
      </c>
      <c r="V13" t="n">
        <v>9.168772563176896</v>
      </c>
      <c r="W13" t="n">
        <v>11925000000</v>
      </c>
      <c r="X13" t="n">
        <v>2.789937106918239</v>
      </c>
      <c r="Y13" t="n">
        <v>0.2581605049594229</v>
      </c>
    </row>
    <row r="14">
      <c r="A14" t="inlineStr">
        <is>
          <t>Lowes</t>
        </is>
      </c>
      <c r="B14" t="n">
        <v>2024</v>
      </c>
      <c r="C14" t="n">
        <v>86377000000</v>
      </c>
      <c r="D14" t="n">
        <v>11557000000</v>
      </c>
      <c r="E14" t="n">
        <v>7726000000</v>
      </c>
      <c r="F14" t="n">
        <v>921000000</v>
      </c>
      <c r="G14" t="n">
        <v>19071000000</v>
      </c>
      <c r="H14" t="n">
        <v>15568000000</v>
      </c>
      <c r="I14" t="n">
        <v>41795000000</v>
      </c>
      <c r="J14" t="n">
        <v>35770000000</v>
      </c>
      <c r="K14" t="n">
        <v>-15050000000</v>
      </c>
      <c r="L14" t="n">
        <v>8140000000</v>
      </c>
      <c r="M14" t="n">
        <v>1964000000</v>
      </c>
      <c r="N14" t="n">
        <v>1438000000</v>
      </c>
      <c r="O14" t="n">
        <v>1717000000</v>
      </c>
      <c r="P14" t="n">
        <v>97059000000</v>
      </c>
      <c r="Q14" t="n">
        <v>-0.1100567695937523</v>
      </c>
      <c r="R14" t="n">
        <v>0.1337971913819651</v>
      </c>
      <c r="S14" t="n">
        <v>6176000000</v>
      </c>
      <c r="T14" t="n">
        <v>1.225012846865365</v>
      </c>
      <c r="U14" t="n">
        <v>-2.376744186046511</v>
      </c>
      <c r="V14" t="n">
        <v>8.036856745479833</v>
      </c>
      <c r="W14" t="n">
        <v>13274000000</v>
      </c>
      <c r="X14" t="n">
        <v>2.694741600120536</v>
      </c>
      <c r="Y14" t="n">
        <v>0.2275649986021806</v>
      </c>
    </row>
    <row r="15">
      <c r="A15" t="inlineStr">
        <is>
          <t>Lowes</t>
        </is>
      </c>
      <c r="B15" t="n">
        <v>2025</v>
      </c>
      <c r="C15" t="n">
        <v>83674000000</v>
      </c>
      <c r="D15" t="n">
        <v>10466000000</v>
      </c>
      <c r="E15" t="n">
        <v>6957000000</v>
      </c>
      <c r="F15" t="n">
        <v>1761000000</v>
      </c>
      <c r="G15" t="n">
        <v>20358000000</v>
      </c>
      <c r="H15" t="n">
        <v>18757000000</v>
      </c>
      <c r="I15" t="n">
        <v>43102000000</v>
      </c>
      <c r="J15" t="n">
        <v>35319000000</v>
      </c>
      <c r="K15" t="n">
        <v>-14231000000</v>
      </c>
      <c r="L15" t="n">
        <v>9625000000</v>
      </c>
      <c r="M15" t="n">
        <v>1927000000</v>
      </c>
      <c r="N15" t="n">
        <v>1452000000</v>
      </c>
      <c r="O15" t="n">
        <v>1729000000</v>
      </c>
      <c r="P15" t="n">
        <v>86377000000</v>
      </c>
      <c r="Q15" t="n">
        <v>-0.03129305254871088</v>
      </c>
      <c r="R15" t="n">
        <v>0.1250806702201401</v>
      </c>
      <c r="S15" t="n">
        <v>7698000000</v>
      </c>
      <c r="T15" t="n">
        <v>1.08535480087434</v>
      </c>
      <c r="U15" t="n">
        <v>-2.481835429695735</v>
      </c>
      <c r="V15" t="n">
        <v>7.207988980716253</v>
      </c>
      <c r="W15" t="n">
        <v>12195000000</v>
      </c>
      <c r="X15" t="n">
        <v>2.896186961869619</v>
      </c>
      <c r="Y15" t="n">
        <v>0.2725162094057023</v>
      </c>
    </row>
    <row r="16">
      <c r="A16" t="inlineStr">
        <is>
          <t>Lowes</t>
        </is>
      </c>
      <c r="B16" t="n">
        <v>2026</v>
      </c>
      <c r="C16" t="n">
        <v>86286000000</v>
      </c>
      <c r="D16" t="n">
        <v>10153000000</v>
      </c>
      <c r="E16" t="n">
        <v>6654000000</v>
      </c>
      <c r="F16" t="n">
        <v>982000000</v>
      </c>
      <c r="G16" t="n">
        <v>20955000000</v>
      </c>
      <c r="H16" t="n">
        <v>19463000000</v>
      </c>
      <c r="I16" t="n">
        <v>54144000000</v>
      </c>
      <c r="J16" t="n">
        <v>39819000000</v>
      </c>
      <c r="K16" t="n">
        <v>-9917000000</v>
      </c>
      <c r="L16" t="n">
        <v>9864000000</v>
      </c>
      <c r="M16" t="n">
        <v>2213000000</v>
      </c>
      <c r="N16" t="n">
        <v>1487000000</v>
      </c>
      <c r="O16" t="n">
        <v>1941000000</v>
      </c>
      <c r="P16" t="n">
        <v>83674000000</v>
      </c>
      <c r="Q16" t="n">
        <v>0.03121638740827497</v>
      </c>
      <c r="R16" t="n">
        <v>0.117666828917785</v>
      </c>
      <c r="S16" t="n">
        <v>7651000000</v>
      </c>
      <c r="T16" t="n">
        <v>1.076658274675024</v>
      </c>
      <c r="U16" t="n">
        <v>-4.015226378945245</v>
      </c>
      <c r="V16" t="n">
        <v>6.827841291190316</v>
      </c>
      <c r="W16" t="n">
        <v>12094000000</v>
      </c>
      <c r="X16" t="n">
        <v>3.292459070613527</v>
      </c>
      <c r="Y16" t="n">
        <v>0.2477209372410156</v>
      </c>
    </row>
    <row r="17">
      <c r="A17" t="inlineStr">
        <is>
          <t>Target</t>
        </is>
      </c>
      <c r="B17" t="n">
        <v>2022</v>
      </c>
      <c r="C17" t="n">
        <v>106005000000</v>
      </c>
      <c r="D17" t="n">
        <v>8946000000</v>
      </c>
      <c r="E17" t="n">
        <v>6946000000</v>
      </c>
      <c r="F17" t="n">
        <v>5911000000</v>
      </c>
      <c r="G17" t="n">
        <v>21573000000</v>
      </c>
      <c r="H17" t="n">
        <v>21747000000</v>
      </c>
      <c r="I17" t="n">
        <v>53811000000</v>
      </c>
      <c r="J17" t="n">
        <v>11568000000</v>
      </c>
      <c r="K17" t="n">
        <v>12827000000</v>
      </c>
      <c r="L17" t="n">
        <v>8625000000</v>
      </c>
      <c r="M17" t="n">
        <v>3544000000</v>
      </c>
      <c r="N17" t="n">
        <v>421000000</v>
      </c>
      <c r="O17" t="n">
        <v>2344000000</v>
      </c>
      <c r="R17" t="n">
        <v>0.08439224564879015</v>
      </c>
      <c r="S17" t="n">
        <v>5081000000</v>
      </c>
      <c r="T17" t="n">
        <v>0.9919988963995033</v>
      </c>
      <c r="U17" t="n">
        <v>0.9018476650814687</v>
      </c>
      <c r="V17" t="n">
        <v>21.24940617577197</v>
      </c>
      <c r="W17" t="n">
        <v>11290000000</v>
      </c>
      <c r="X17" t="n">
        <v>1.024623560673162</v>
      </c>
      <c r="Y17" t="n">
        <v>0.745591286307054</v>
      </c>
    </row>
    <row r="18">
      <c r="A18" t="inlineStr">
        <is>
          <t>Target</t>
        </is>
      </c>
      <c r="B18" t="n">
        <v>2023</v>
      </c>
      <c r="C18" t="n">
        <v>109120000000</v>
      </c>
      <c r="D18" t="n">
        <v>3848000000</v>
      </c>
      <c r="E18" t="n">
        <v>2780000000</v>
      </c>
      <c r="F18" t="n">
        <v>2229000000</v>
      </c>
      <c r="G18" t="n">
        <v>17846000000</v>
      </c>
      <c r="H18" t="n">
        <v>19500000000</v>
      </c>
      <c r="I18" t="n">
        <v>53335000000</v>
      </c>
      <c r="J18" t="n">
        <v>14141000000</v>
      </c>
      <c r="K18" t="n">
        <v>11232000000</v>
      </c>
      <c r="L18" t="n">
        <v>4018000000</v>
      </c>
      <c r="M18" t="n">
        <v>5528000000</v>
      </c>
      <c r="N18" t="n">
        <v>478000000</v>
      </c>
      <c r="O18" t="n">
        <v>2385000000</v>
      </c>
      <c r="P18" t="n">
        <v>106005000000</v>
      </c>
      <c r="Q18" t="n">
        <v>0.02938540634875713</v>
      </c>
      <c r="R18" t="n">
        <v>0.03526392961876833</v>
      </c>
      <c r="S18" t="n">
        <v>-1510000000</v>
      </c>
      <c r="T18" t="n">
        <v>0.9151794871794872</v>
      </c>
      <c r="U18" t="n">
        <v>1.258992165242165</v>
      </c>
      <c r="V18" t="n">
        <v>8.05020920502092</v>
      </c>
      <c r="W18" t="n">
        <v>6233000000</v>
      </c>
      <c r="X18" t="n">
        <v>2.268730948179047</v>
      </c>
      <c r="Y18" t="n">
        <v>0.2841383211936921</v>
      </c>
    </row>
    <row r="19">
      <c r="A19" t="inlineStr">
        <is>
          <t>Target</t>
        </is>
      </c>
      <c r="B19" t="n">
        <v>2024</v>
      </c>
      <c r="C19" t="n">
        <v>107412000000</v>
      </c>
      <c r="D19" t="n">
        <v>5707000000</v>
      </c>
      <c r="E19" t="n">
        <v>4138000000</v>
      </c>
      <c r="F19" t="n">
        <v>3805000000</v>
      </c>
      <c r="G19" t="n">
        <v>17498000000</v>
      </c>
      <c r="H19" t="n">
        <v>19304000000</v>
      </c>
      <c r="I19" t="n">
        <v>55356000000</v>
      </c>
      <c r="J19" t="n">
        <v>14151000000</v>
      </c>
      <c r="K19" t="n">
        <v>13432000000</v>
      </c>
      <c r="L19" t="n">
        <v>8621000000</v>
      </c>
      <c r="M19" t="n">
        <v>4806000000</v>
      </c>
      <c r="N19" t="n">
        <v>502000000</v>
      </c>
      <c r="O19" t="n">
        <v>2415000000</v>
      </c>
      <c r="P19" t="n">
        <v>109120000000</v>
      </c>
      <c r="Q19" t="n">
        <v>-0.0156524926686217</v>
      </c>
      <c r="R19" t="n">
        <v>0.05313186608572599</v>
      </c>
      <c r="S19" t="n">
        <v>3815000000</v>
      </c>
      <c r="T19" t="n">
        <v>0.9064442602569416</v>
      </c>
      <c r="U19" t="n">
        <v>1.053528886241811</v>
      </c>
      <c r="V19" t="n">
        <v>11.36852589641434</v>
      </c>
      <c r="W19" t="n">
        <v>8122000000</v>
      </c>
      <c r="X19" t="n">
        <v>1.742304851021916</v>
      </c>
      <c r="Y19" t="n">
        <v>0.6092148964737475</v>
      </c>
    </row>
    <row r="20">
      <c r="A20" t="inlineStr">
        <is>
          <t>Target</t>
        </is>
      </c>
      <c r="B20" t="n">
        <v>2025</v>
      </c>
      <c r="C20" t="n">
        <v>106566000000</v>
      </c>
      <c r="D20" t="n">
        <v>5566000000</v>
      </c>
      <c r="E20" t="n">
        <v>4091000000</v>
      </c>
      <c r="F20" t="n">
        <v>4762000000</v>
      </c>
      <c r="G20" t="n">
        <v>19454000000</v>
      </c>
      <c r="H20" t="n">
        <v>20799000000</v>
      </c>
      <c r="I20" t="n">
        <v>57769000000</v>
      </c>
      <c r="J20" t="n">
        <v>13904000000</v>
      </c>
      <c r="K20" t="n">
        <v>14666000000</v>
      </c>
      <c r="L20" t="n">
        <v>7367000000</v>
      </c>
      <c r="M20" t="n">
        <v>2891000000</v>
      </c>
      <c r="N20" t="n">
        <v>411000000</v>
      </c>
      <c r="O20" t="n">
        <v>2529000000</v>
      </c>
      <c r="P20" t="n">
        <v>107412000000</v>
      </c>
      <c r="Q20" t="n">
        <v>-0.007876214948050497</v>
      </c>
      <c r="R20" t="n">
        <v>0.05223054257455473</v>
      </c>
      <c r="S20" t="n">
        <v>4476000000</v>
      </c>
      <c r="T20" t="n">
        <v>0.9353334294918025</v>
      </c>
      <c r="U20" t="n">
        <v>0.9480430928678576</v>
      </c>
      <c r="V20" t="n">
        <v>13.54257907542579</v>
      </c>
      <c r="W20" t="n">
        <v>8095000000</v>
      </c>
      <c r="X20" t="n">
        <v>1.717603458925262</v>
      </c>
      <c r="Y20" t="n">
        <v>0.5298475258918297</v>
      </c>
    </row>
    <row r="21">
      <c r="A21" t="inlineStr">
        <is>
          <t>Target</t>
        </is>
      </c>
      <c r="B21" t="n">
        <v>2026</v>
      </c>
      <c r="C21" t="n">
        <v>104780000000</v>
      </c>
      <c r="D21" t="n">
        <v>5117000000</v>
      </c>
      <c r="E21" t="n">
        <v>3705000000</v>
      </c>
      <c r="F21" t="n">
        <v>5488000000</v>
      </c>
      <c r="G21" t="n">
        <v>20005000000</v>
      </c>
      <c r="H21" t="n">
        <v>21230000000</v>
      </c>
      <c r="I21" t="n">
        <v>59490000000</v>
      </c>
      <c r="J21" t="n">
        <v>14398000000</v>
      </c>
      <c r="K21" t="n">
        <v>16165000000</v>
      </c>
      <c r="L21" t="n">
        <v>6562000000</v>
      </c>
      <c r="M21" t="n">
        <v>3727000000</v>
      </c>
      <c r="N21" t="n">
        <v>445000000</v>
      </c>
      <c r="O21" t="n">
        <v>2617000000</v>
      </c>
      <c r="P21" t="n">
        <v>106566000000</v>
      </c>
      <c r="Q21" t="n">
        <v>-0.01675956684120639</v>
      </c>
      <c r="R21" t="n">
        <v>0.048835655659477</v>
      </c>
      <c r="S21" t="n">
        <v>2835000000</v>
      </c>
      <c r="T21" t="n">
        <v>0.9422986340084786</v>
      </c>
      <c r="U21" t="n">
        <v>0.8906897618311166</v>
      </c>
      <c r="V21" t="n">
        <v>11.49887640449438</v>
      </c>
      <c r="W21" t="n">
        <v>7734000000</v>
      </c>
      <c r="X21" t="n">
        <v>1.861649857770882</v>
      </c>
      <c r="Y21" t="n">
        <v>0.4557577441311293</v>
      </c>
    </row>
    <row r="22">
      <c r="A22" t="inlineStr">
        <is>
          <t>Walmart</t>
        </is>
      </c>
      <c r="B22" t="n">
        <v>2022</v>
      </c>
      <c r="C22" t="n">
        <v>567762000000</v>
      </c>
      <c r="D22" t="n">
        <v>25942000000</v>
      </c>
      <c r="E22" t="n">
        <v>13673000000</v>
      </c>
      <c r="F22" t="n">
        <v>14760000000</v>
      </c>
      <c r="G22" t="n">
        <v>81070000000</v>
      </c>
      <c r="H22" t="n">
        <v>87379000000</v>
      </c>
      <c r="I22" t="n">
        <v>244860000000</v>
      </c>
      <c r="J22" t="n">
        <v>37667000000</v>
      </c>
      <c r="K22" t="n">
        <v>83253000000</v>
      </c>
      <c r="L22" t="n">
        <v>24181000000</v>
      </c>
      <c r="M22" t="n">
        <v>13106000000</v>
      </c>
      <c r="N22" t="n">
        <v>1674000000</v>
      </c>
      <c r="O22" t="n">
        <v>10658000000</v>
      </c>
      <c r="R22" t="n">
        <v>0.04569168066901272</v>
      </c>
      <c r="S22" t="n">
        <v>11075000000</v>
      </c>
      <c r="T22" t="n">
        <v>0.9277972968333352</v>
      </c>
      <c r="U22" t="n">
        <v>0.4524401523068238</v>
      </c>
      <c r="V22" t="n">
        <v>15.49701314217443</v>
      </c>
      <c r="W22" t="n">
        <v>36600000000</v>
      </c>
      <c r="X22" t="n">
        <v>1.029153005464481</v>
      </c>
      <c r="Y22" t="n">
        <v>0.6419677701967239</v>
      </c>
    </row>
    <row r="23">
      <c r="A23" t="inlineStr">
        <is>
          <t>Walmart</t>
        </is>
      </c>
      <c r="B23" t="n">
        <v>2023</v>
      </c>
      <c r="C23" t="n">
        <v>605881000000</v>
      </c>
      <c r="D23" t="n">
        <v>20428000000</v>
      </c>
      <c r="E23" t="n">
        <v>11680000000</v>
      </c>
      <c r="F23" t="n">
        <v>8625000000</v>
      </c>
      <c r="G23" t="n">
        <v>75655000000</v>
      </c>
      <c r="H23" t="n">
        <v>92198000000</v>
      </c>
      <c r="I23" t="n">
        <v>243197000000</v>
      </c>
      <c r="J23" t="n">
        <v>38840000000</v>
      </c>
      <c r="K23" t="n">
        <v>76693000000</v>
      </c>
      <c r="L23" t="n">
        <v>28841000000</v>
      </c>
      <c r="M23" t="n">
        <v>16857000000</v>
      </c>
      <c r="N23" t="n">
        <v>1787000000</v>
      </c>
      <c r="O23" t="n">
        <v>10945000000</v>
      </c>
      <c r="P23" t="n">
        <v>567762000000</v>
      </c>
      <c r="Q23" t="n">
        <v>0.06713904769956425</v>
      </c>
      <c r="R23" t="n">
        <v>0.03371619179343799</v>
      </c>
      <c r="S23" t="n">
        <v>11984000000</v>
      </c>
      <c r="T23" t="n">
        <v>0.8205709451398078</v>
      </c>
      <c r="U23" t="n">
        <v>0.5064347463262618</v>
      </c>
      <c r="V23" t="n">
        <v>11.43144935646335</v>
      </c>
      <c r="W23" t="n">
        <v>31373000000</v>
      </c>
      <c r="X23" t="n">
        <v>1.238007203646448</v>
      </c>
      <c r="Y23" t="n">
        <v>0.7425592173017508</v>
      </c>
    </row>
    <row r="24">
      <c r="A24" t="inlineStr">
        <is>
          <t>Walmart</t>
        </is>
      </c>
      <c r="B24" t="n">
        <v>2024</v>
      </c>
      <c r="C24" t="n">
        <v>642637000000</v>
      </c>
      <c r="D24" t="n">
        <v>27012000000</v>
      </c>
      <c r="E24" t="n">
        <v>15511000000</v>
      </c>
      <c r="F24" t="n">
        <v>9867000000</v>
      </c>
      <c r="G24" t="n">
        <v>76877000000</v>
      </c>
      <c r="H24" t="n">
        <v>92415000000</v>
      </c>
      <c r="I24" t="n">
        <v>252399000000</v>
      </c>
      <c r="J24" t="n">
        <v>39579000000</v>
      </c>
      <c r="K24" t="n">
        <v>83861000000</v>
      </c>
      <c r="L24" t="n">
        <v>35726000000</v>
      </c>
      <c r="M24" t="n">
        <v>20606000000</v>
      </c>
      <c r="N24" t="n">
        <v>2259000000</v>
      </c>
      <c r="O24" t="n">
        <v>11853000000</v>
      </c>
      <c r="P24" t="n">
        <v>605881000000</v>
      </c>
      <c r="Q24" t="n">
        <v>0.06066537818482507</v>
      </c>
      <c r="R24" t="n">
        <v>0.04203306065477089</v>
      </c>
      <c r="S24" t="n">
        <v>15120000000</v>
      </c>
      <c r="T24" t="n">
        <v>0.8318671211383434</v>
      </c>
      <c r="U24" t="n">
        <v>0.4719595521160015</v>
      </c>
      <c r="V24" t="n">
        <v>11.95750332005312</v>
      </c>
      <c r="W24" t="n">
        <v>38865000000</v>
      </c>
      <c r="X24" t="n">
        <v>1.018371285218062</v>
      </c>
      <c r="Y24" t="n">
        <v>0.9026503954117082</v>
      </c>
    </row>
    <row r="25">
      <c r="A25" t="inlineStr">
        <is>
          <t>Walmart</t>
        </is>
      </c>
      <c r="B25" t="n">
        <v>2025</v>
      </c>
      <c r="C25" t="n">
        <v>674538000000</v>
      </c>
      <c r="D25" t="n">
        <v>29348000000</v>
      </c>
      <c r="E25" t="n">
        <v>19436000000</v>
      </c>
      <c r="F25" t="n">
        <v>9037000000</v>
      </c>
      <c r="G25" t="n">
        <v>79458000000</v>
      </c>
      <c r="H25" t="n">
        <v>96584000000</v>
      </c>
      <c r="I25" t="n">
        <v>260823000000</v>
      </c>
      <c r="J25" t="n">
        <v>35999000000</v>
      </c>
      <c r="K25" t="n">
        <v>91013000000</v>
      </c>
      <c r="L25" t="n">
        <v>36443000000</v>
      </c>
      <c r="M25" t="n">
        <v>23783000000</v>
      </c>
      <c r="N25" t="n">
        <v>2249000000</v>
      </c>
      <c r="O25" t="n">
        <v>12973000000</v>
      </c>
      <c r="P25" t="n">
        <v>642637000000</v>
      </c>
      <c r="Q25" t="n">
        <v>0.04964077698607457</v>
      </c>
      <c r="R25" t="n">
        <v>0.04350829753105089</v>
      </c>
      <c r="S25" t="n">
        <v>12660000000</v>
      </c>
      <c r="T25" t="n">
        <v>0.8226828460200447</v>
      </c>
      <c r="U25" t="n">
        <v>0.3955369013217892</v>
      </c>
      <c r="V25" t="n">
        <v>13.04935526900845</v>
      </c>
      <c r="W25" t="n">
        <v>42321000000</v>
      </c>
      <c r="X25" t="n">
        <v>0.8506178965525389</v>
      </c>
      <c r="Y25" t="n">
        <v>1.012333675935443</v>
      </c>
    </row>
    <row r="26">
      <c r="A26" t="inlineStr">
        <is>
          <t>Walmart</t>
        </is>
      </c>
      <c r="B26" t="n">
        <v>2026</v>
      </c>
      <c r="C26" t="n">
        <v>706413000000</v>
      </c>
      <c r="D26" t="n">
        <v>29825000000</v>
      </c>
      <c r="E26" t="n">
        <v>21893000000</v>
      </c>
      <c r="F26" t="n">
        <v>10727000000</v>
      </c>
      <c r="G26" t="n">
        <v>84874000000</v>
      </c>
      <c r="H26" t="n">
        <v>107469000000</v>
      </c>
      <c r="I26" t="n">
        <v>284668000000</v>
      </c>
      <c r="J26" t="n">
        <v>38166000000</v>
      </c>
      <c r="K26" t="n">
        <v>99617000000</v>
      </c>
      <c r="L26" t="n">
        <v>41565000000</v>
      </c>
      <c r="M26" t="n">
        <v>26642000000</v>
      </c>
      <c r="N26" t="n">
        <v>2318000000</v>
      </c>
      <c r="O26" t="n">
        <v>14203000000</v>
      </c>
      <c r="P26" t="n">
        <v>674538000000</v>
      </c>
      <c r="Q26" t="n">
        <v>0.04725456534694858</v>
      </c>
      <c r="R26" t="n">
        <v>0.04222034418958881</v>
      </c>
      <c r="S26" t="n">
        <v>14923000000</v>
      </c>
      <c r="T26" t="n">
        <v>0.7897533242144247</v>
      </c>
      <c r="U26" t="n">
        <v>0.383127377857193</v>
      </c>
      <c r="V26" t="n">
        <v>12.86669542709232</v>
      </c>
      <c r="W26" t="n">
        <v>44028000000</v>
      </c>
      <c r="X26" t="n">
        <v>0.8668574543472336</v>
      </c>
      <c r="Y26" t="n">
        <v>1.089058324162868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9" customWidth="1" min="5" max="5"/>
  </cols>
  <sheetData>
    <row r="1">
      <c r="A1" s="1" t="inlineStr">
        <is>
          <t>company</t>
        </is>
      </c>
      <c r="B1" s="1" t="inlineStr">
        <is>
          <t>pre_stress_score</t>
        </is>
      </c>
      <c r="C1" s="1" t="inlineStr">
        <is>
          <t>stress_score</t>
        </is>
      </c>
      <c r="D1" s="1" t="inlineStr">
        <is>
          <t>final_credit_score</t>
        </is>
      </c>
      <c r="E1" s="1" t="inlineStr">
        <is>
          <t>credit_rating</t>
        </is>
      </c>
    </row>
    <row r="2">
      <c r="A2" t="inlineStr">
        <is>
          <t>Costco</t>
        </is>
      </c>
      <c r="B2" s="9" t="n">
        <v>4.3</v>
      </c>
      <c r="C2" s="9" t="n">
        <v>4.5</v>
      </c>
      <c r="D2" s="9" t="n">
        <v>4.33</v>
      </c>
      <c r="E2" t="inlineStr">
        <is>
          <t>Strong</t>
        </is>
      </c>
    </row>
    <row r="3">
      <c r="A3" t="inlineStr">
        <is>
          <t>Walmart</t>
        </is>
      </c>
      <c r="B3" s="9" t="n">
        <v>3.9</v>
      </c>
      <c r="C3" s="9" t="n">
        <v>3.25</v>
      </c>
      <c r="D3" s="9" t="n">
        <v>3.8</v>
      </c>
      <c r="E3" t="inlineStr">
        <is>
          <t>Moderate / Strong</t>
        </is>
      </c>
    </row>
    <row r="4">
      <c r="A4" t="inlineStr">
        <is>
          <t>Home Depot</t>
        </is>
      </c>
      <c r="B4" s="9" t="n">
        <v>3.65</v>
      </c>
      <c r="C4" s="9" t="n">
        <v>3.15</v>
      </c>
      <c r="D4" s="9" t="n">
        <v>3.58</v>
      </c>
      <c r="E4" t="inlineStr">
        <is>
          <t>Moderate / Strong</t>
        </is>
      </c>
    </row>
    <row r="5">
      <c r="A5" t="inlineStr">
        <is>
          <t>Target</t>
        </is>
      </c>
      <c r="B5" s="9" t="n">
        <v>3.35</v>
      </c>
      <c r="C5" s="9" t="n">
        <v>2.9</v>
      </c>
      <c r="D5" s="9" t="n">
        <v>3.28</v>
      </c>
      <c r="E5" t="inlineStr">
        <is>
          <t>Moderate</t>
        </is>
      </c>
    </row>
    <row r="6">
      <c r="A6" t="inlineStr">
        <is>
          <t>Lowes</t>
        </is>
      </c>
      <c r="B6" s="9" t="n">
        <v>3</v>
      </c>
      <c r="C6" s="9" t="n">
        <v>2.05</v>
      </c>
      <c r="D6" s="9" t="n">
        <v>2.86</v>
      </c>
      <c r="E6" t="inlineStr">
        <is>
          <t>Moderate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3" customWidth="1" min="4" max="4"/>
    <col width="13" customWidth="1" min="5" max="5"/>
    <col width="13" customWidth="1" min="6" max="6"/>
    <col width="15" customWidth="1" min="7" max="7"/>
    <col width="23" customWidth="1" min="8" max="8"/>
    <col width="13" customWidth="1" min="9" max="9"/>
    <col width="25" customWidth="1" min="10" max="10"/>
    <col width="30" customWidth="1" min="11" max="11"/>
    <col width="30" customWidth="1" min="12" max="12"/>
    <col width="30" customWidth="1" min="13" max="13"/>
    <col width="18" customWidth="1" min="14" max="14"/>
    <col width="27" customWidth="1" min="15" max="15"/>
    <col width="15" customWidth="1" min="16" max="16"/>
    <col width="17" customWidth="1" min="17" max="17"/>
    <col width="27" customWidth="1" min="18" max="18"/>
    <col width="14" customWidth="1" min="19" max="19"/>
    <col width="14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Scenario</t>
        </is>
      </c>
      <c r="B1" s="1" t="inlineStr">
        <is>
          <t>Revenue Shock</t>
        </is>
      </c>
      <c r="C1" s="1" t="inlineStr">
        <is>
          <t>Margin Shock</t>
        </is>
      </c>
      <c r="D1" s="1" t="inlineStr">
        <is>
          <t>Interest Multiplier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t="inlineStr">
        <is>
          <t>Base</t>
        </is>
      </c>
      <c r="B2" s="2" t="n">
        <v>0</v>
      </c>
      <c r="C2" s="2" t="n">
        <v>0</v>
      </c>
      <c r="D2" t="n">
        <v>1</v>
      </c>
    </row>
    <row r="3">
      <c r="A3" t="inlineStr">
        <is>
          <t>Moderate Stress</t>
        </is>
      </c>
      <c r="B3" s="2" t="n">
        <v>-0.05</v>
      </c>
      <c r="C3" s="2" t="n">
        <v>-0.01</v>
      </c>
      <c r="D3" t="n">
        <v>1.1</v>
      </c>
    </row>
    <row r="4">
      <c r="A4" t="inlineStr">
        <is>
          <t>Severe Stress</t>
        </is>
      </c>
      <c r="B4" s="2" t="n">
        <v>-0.1</v>
      </c>
      <c r="C4" s="2" t="n">
        <v>-0.02</v>
      </c>
      <c r="D4" t="n">
        <v>1.2</v>
      </c>
    </row>
    <row r="7">
      <c r="A7" s="1" t="inlineStr">
        <is>
          <t>Company</t>
        </is>
      </c>
      <c r="B7" s="1" t="inlineStr">
        <is>
          <t>Scenario</t>
        </is>
      </c>
      <c r="C7" s="1" t="inlineStr">
        <is>
          <t>Base Revenue</t>
        </is>
      </c>
      <c r="D7" s="1" t="inlineStr">
        <is>
          <t>Base Operating Margin</t>
        </is>
      </c>
      <c r="E7" s="1" t="inlineStr">
        <is>
          <t>Base OCF</t>
        </is>
      </c>
      <c r="F7" s="1" t="inlineStr">
        <is>
          <t>CapEx</t>
        </is>
      </c>
      <c r="G7" s="1" t="inlineStr">
        <is>
          <t>Total Debt</t>
        </is>
      </c>
      <c r="H7" s="1" t="inlineStr">
        <is>
          <t>Base Interest Expense</t>
        </is>
      </c>
      <c r="I7" s="1" t="inlineStr">
        <is>
          <t>D&amp;A</t>
        </is>
      </c>
      <c r="J7" s="1" t="inlineStr">
        <is>
          <t>OCF / EBITDA Conversion</t>
        </is>
      </c>
      <c r="K7" s="1" t="inlineStr">
        <is>
          <t>Revenue Shock</t>
        </is>
      </c>
      <c r="L7" s="1" t="inlineStr">
        <is>
          <t>Margin Shock</t>
        </is>
      </c>
      <c r="M7" s="1" t="inlineStr">
        <is>
          <t>Interest Multiplier</t>
        </is>
      </c>
      <c r="N7" s="1" t="inlineStr">
        <is>
          <t>Stressed Revenue</t>
        </is>
      </c>
      <c r="O7" s="1" t="inlineStr">
        <is>
          <t>Stressed Operating Margin</t>
        </is>
      </c>
      <c r="P7" s="1" t="inlineStr">
        <is>
          <t>Stressed EBIT</t>
        </is>
      </c>
      <c r="Q7" s="1" t="inlineStr">
        <is>
          <t>Stressed EBITDA</t>
        </is>
      </c>
      <c r="R7" s="1" t="inlineStr">
        <is>
          <t>Stressed Interest Expense</t>
        </is>
      </c>
      <c r="S7" s="1" t="inlineStr">
        <is>
          <t>Stressed OCF</t>
        </is>
      </c>
      <c r="T7" s="1" t="inlineStr">
        <is>
          <t>Stressed FCF</t>
        </is>
      </c>
      <c r="U7" s="1" t="inlineStr">
        <is>
          <t>Interest Coverage</t>
        </is>
      </c>
      <c r="V7" s="1" t="inlineStr">
        <is>
          <t>Debt / EBITDA</t>
        </is>
      </c>
      <c r="W7" s="1" t="inlineStr">
        <is>
          <t>FCF / Debt</t>
        </is>
      </c>
    </row>
    <row r="8">
      <c r="A8" t="inlineStr">
        <is>
          <t>Costco</t>
        </is>
      </c>
      <c r="B8" t="inlineStr">
        <is>
          <t>Base</t>
        </is>
      </c>
      <c r="C8" s="8" t="n">
        <v>275235000000</v>
      </c>
      <c r="D8" s="4" t="n">
        <v>0.03772412665540356</v>
      </c>
      <c r="E8" s="8" t="n">
        <v>13335000000</v>
      </c>
      <c r="F8" s="8" t="n">
        <v>5498000000</v>
      </c>
      <c r="G8" s="8" t="n">
        <v>5805000000</v>
      </c>
      <c r="H8" s="8" t="n">
        <v>154000000</v>
      </c>
      <c r="I8" s="8" t="n">
        <v>2426000000</v>
      </c>
      <c r="J8" s="10" t="n">
        <v>1.041064876258881</v>
      </c>
      <c r="K8" s="4">
        <f>VLOOKUP(B8,$A$2:$D$4,2,FALSE)</f>
        <v/>
      </c>
      <c r="L8" s="4">
        <f>VLOOKUP(B8,$A$2:$D$4,3,FALSE)</f>
        <v/>
      </c>
      <c r="M8">
        <f>VLOOKUP(B8,$A$2:$D$4,4,FALSE)</f>
        <v/>
      </c>
      <c r="N8" s="8">
        <f>C8*(1+K8)</f>
        <v/>
      </c>
      <c r="O8" s="4">
        <f>MAX(D8+L8,0)</f>
        <v/>
      </c>
      <c r="P8" s="8">
        <f>N8*O8</f>
        <v/>
      </c>
      <c r="Q8" s="8">
        <f>P8+I8</f>
        <v/>
      </c>
      <c r="R8" s="8">
        <f>H8*M8</f>
        <v/>
      </c>
      <c r="S8" s="8">
        <f>Q8*J8</f>
        <v/>
      </c>
      <c r="T8" s="8">
        <f>S8-F8</f>
        <v/>
      </c>
      <c r="U8" s="10">
        <f>IFERROR(P8/R8,0)</f>
        <v/>
      </c>
      <c r="V8" s="10">
        <f>IFERROR(G8/Q8,0)</f>
        <v/>
      </c>
      <c r="W8" s="10">
        <f>IFERROR(T8/G8,0)</f>
        <v/>
      </c>
    </row>
    <row r="9">
      <c r="A9" t="inlineStr">
        <is>
          <t>Costco</t>
        </is>
      </c>
      <c r="B9" t="inlineStr">
        <is>
          <t>Moderate Stress</t>
        </is>
      </c>
      <c r="C9" s="8" t="n">
        <v>275235000000</v>
      </c>
      <c r="D9" s="4" t="n">
        <v>0.03772412665540356</v>
      </c>
      <c r="E9" s="8" t="n">
        <v>13335000000</v>
      </c>
      <c r="F9" s="8" t="n">
        <v>5498000000</v>
      </c>
      <c r="G9" s="8" t="n">
        <v>5805000000</v>
      </c>
      <c r="H9" s="8" t="n">
        <v>154000000</v>
      </c>
      <c r="I9" s="8" t="n">
        <v>2426000000</v>
      </c>
      <c r="J9" s="10" t="n">
        <v>1.041064876258881</v>
      </c>
      <c r="K9" s="4">
        <f>VLOOKUP(B9,$A$2:$D$4,2,FALSE)</f>
        <v/>
      </c>
      <c r="L9" s="4">
        <f>VLOOKUP(B9,$A$2:$D$4,3,FALSE)</f>
        <v/>
      </c>
      <c r="M9">
        <f>VLOOKUP(B9,$A$2:$D$4,4,FALSE)</f>
        <v/>
      </c>
      <c r="N9" s="8">
        <f>C9*(1+K9)</f>
        <v/>
      </c>
      <c r="O9" s="4">
        <f>MAX(D9+L9,0)</f>
        <v/>
      </c>
      <c r="P9" s="8">
        <f>N9*O9</f>
        <v/>
      </c>
      <c r="Q9" s="8">
        <f>P9+I9</f>
        <v/>
      </c>
      <c r="R9" s="8">
        <f>H9*M9</f>
        <v/>
      </c>
      <c r="S9" s="8">
        <f>Q9*J9</f>
        <v/>
      </c>
      <c r="T9" s="8">
        <f>S9-F9</f>
        <v/>
      </c>
      <c r="U9" s="10">
        <f>IFERROR(P9/R9,0)</f>
        <v/>
      </c>
      <c r="V9" s="10">
        <f>IFERROR(G9/Q9,0)</f>
        <v/>
      </c>
      <c r="W9" s="10">
        <f>IFERROR(T9/G9,0)</f>
        <v/>
      </c>
    </row>
    <row r="10">
      <c r="A10" t="inlineStr">
        <is>
          <t>Costco</t>
        </is>
      </c>
      <c r="B10" t="inlineStr">
        <is>
          <t>Severe Stress</t>
        </is>
      </c>
      <c r="C10" s="8" t="n">
        <v>275235000000</v>
      </c>
      <c r="D10" s="4" t="n">
        <v>0.03772412665540356</v>
      </c>
      <c r="E10" s="8" t="n">
        <v>13335000000</v>
      </c>
      <c r="F10" s="8" t="n">
        <v>5498000000</v>
      </c>
      <c r="G10" s="8" t="n">
        <v>5805000000</v>
      </c>
      <c r="H10" s="8" t="n">
        <v>154000000</v>
      </c>
      <c r="I10" s="8" t="n">
        <v>2426000000</v>
      </c>
      <c r="J10" s="10" t="n">
        <v>1.041064876258881</v>
      </c>
      <c r="K10" s="4">
        <f>VLOOKUP(B10,$A$2:$D$4,2,FALSE)</f>
        <v/>
      </c>
      <c r="L10" s="4">
        <f>VLOOKUP(B10,$A$2:$D$4,3,FALSE)</f>
        <v/>
      </c>
      <c r="M10">
        <f>VLOOKUP(B10,$A$2:$D$4,4,FALSE)</f>
        <v/>
      </c>
      <c r="N10" s="8">
        <f>C10*(1+K10)</f>
        <v/>
      </c>
      <c r="O10" s="4">
        <f>MAX(D10+L10,0)</f>
        <v/>
      </c>
      <c r="P10" s="8">
        <f>N10*O10</f>
        <v/>
      </c>
      <c r="Q10" s="8">
        <f>P10+I10</f>
        <v/>
      </c>
      <c r="R10" s="8">
        <f>H10*M10</f>
        <v/>
      </c>
      <c r="S10" s="8">
        <f>Q10*J10</f>
        <v/>
      </c>
      <c r="T10" s="8">
        <f>S10-F10</f>
        <v/>
      </c>
      <c r="U10" s="10">
        <f>IFERROR(P10/R10,0)</f>
        <v/>
      </c>
      <c r="V10" s="10">
        <f>IFERROR(G10/Q10,0)</f>
        <v/>
      </c>
      <c r="W10" s="10">
        <f>IFERROR(T10/G10,0)</f>
        <v/>
      </c>
    </row>
    <row r="11">
      <c r="A11" t="inlineStr">
        <is>
          <t>Home Depot</t>
        </is>
      </c>
      <c r="B11" t="inlineStr">
        <is>
          <t>Base</t>
        </is>
      </c>
      <c r="C11" s="8" t="n">
        <v>164683000000</v>
      </c>
      <c r="D11" s="4" t="n">
        <v>0.1268497659139073</v>
      </c>
      <c r="E11" s="8" t="n">
        <v>16325000000</v>
      </c>
      <c r="F11" s="8" t="n">
        <v>3679000000</v>
      </c>
      <c r="G11" s="8" t="n">
        <v>49397000000</v>
      </c>
      <c r="H11" s="8" t="n">
        <v>2412000000</v>
      </c>
      <c r="I11" s="8" t="n">
        <v>3273000000</v>
      </c>
      <c r="J11" s="10" t="n">
        <v>0.6756197492033273</v>
      </c>
      <c r="K11" s="4">
        <f>VLOOKUP(B11,$A$2:$D$4,2,FALSE)</f>
        <v/>
      </c>
      <c r="L11" s="4">
        <f>VLOOKUP(B11,$A$2:$D$4,3,FALSE)</f>
        <v/>
      </c>
      <c r="M11">
        <f>VLOOKUP(B11,$A$2:$D$4,4,FALSE)</f>
        <v/>
      </c>
      <c r="N11" s="8">
        <f>C11*(1+K11)</f>
        <v/>
      </c>
      <c r="O11" s="4">
        <f>MAX(D11+L11,0)</f>
        <v/>
      </c>
      <c r="P11" s="8">
        <f>N11*O11</f>
        <v/>
      </c>
      <c r="Q11" s="8">
        <f>P11+I11</f>
        <v/>
      </c>
      <c r="R11" s="8">
        <f>H11*M11</f>
        <v/>
      </c>
      <c r="S11" s="8">
        <f>Q11*J11</f>
        <v/>
      </c>
      <c r="T11" s="8">
        <f>S11-F11</f>
        <v/>
      </c>
      <c r="U11" s="10">
        <f>IFERROR(P11/R11,0)</f>
        <v/>
      </c>
      <c r="V11" s="10">
        <f>IFERROR(G11/Q11,0)</f>
        <v/>
      </c>
      <c r="W11" s="10">
        <f>IFERROR(T11/G11,0)</f>
        <v/>
      </c>
    </row>
    <row r="12">
      <c r="A12" t="inlineStr">
        <is>
          <t>Home Depot</t>
        </is>
      </c>
      <c r="B12" t="inlineStr">
        <is>
          <t>Moderate Stress</t>
        </is>
      </c>
      <c r="C12" s="8" t="n">
        <v>164683000000</v>
      </c>
      <c r="D12" s="4" t="n">
        <v>0.1268497659139073</v>
      </c>
      <c r="E12" s="8" t="n">
        <v>16325000000</v>
      </c>
      <c r="F12" s="8" t="n">
        <v>3679000000</v>
      </c>
      <c r="G12" s="8" t="n">
        <v>49397000000</v>
      </c>
      <c r="H12" s="8" t="n">
        <v>2412000000</v>
      </c>
      <c r="I12" s="8" t="n">
        <v>3273000000</v>
      </c>
      <c r="J12" s="10" t="n">
        <v>0.6756197492033273</v>
      </c>
      <c r="K12" s="4">
        <f>VLOOKUP(B12,$A$2:$D$4,2,FALSE)</f>
        <v/>
      </c>
      <c r="L12" s="4">
        <f>VLOOKUP(B12,$A$2:$D$4,3,FALSE)</f>
        <v/>
      </c>
      <c r="M12">
        <f>VLOOKUP(B12,$A$2:$D$4,4,FALSE)</f>
        <v/>
      </c>
      <c r="N12" s="8">
        <f>C12*(1+K12)</f>
        <v/>
      </c>
      <c r="O12" s="4">
        <f>MAX(D12+L12,0)</f>
        <v/>
      </c>
      <c r="P12" s="8">
        <f>N12*O12</f>
        <v/>
      </c>
      <c r="Q12" s="8">
        <f>P12+I12</f>
        <v/>
      </c>
      <c r="R12" s="8">
        <f>H12*M12</f>
        <v/>
      </c>
      <c r="S12" s="8">
        <f>Q12*J12</f>
        <v/>
      </c>
      <c r="T12" s="8">
        <f>S12-F12</f>
        <v/>
      </c>
      <c r="U12" s="10">
        <f>IFERROR(P12/R12,0)</f>
        <v/>
      </c>
      <c r="V12" s="10">
        <f>IFERROR(G12/Q12,0)</f>
        <v/>
      </c>
      <c r="W12" s="10">
        <f>IFERROR(T12/G12,0)</f>
        <v/>
      </c>
    </row>
    <row r="13">
      <c r="A13" t="inlineStr">
        <is>
          <t>Home Depot</t>
        </is>
      </c>
      <c r="B13" t="inlineStr">
        <is>
          <t>Severe Stress</t>
        </is>
      </c>
      <c r="C13" s="8" t="n">
        <v>164683000000</v>
      </c>
      <c r="D13" s="4" t="n">
        <v>0.1268497659139073</v>
      </c>
      <c r="E13" s="8" t="n">
        <v>16325000000</v>
      </c>
      <c r="F13" s="8" t="n">
        <v>3679000000</v>
      </c>
      <c r="G13" s="8" t="n">
        <v>49397000000</v>
      </c>
      <c r="H13" s="8" t="n">
        <v>2412000000</v>
      </c>
      <c r="I13" s="8" t="n">
        <v>3273000000</v>
      </c>
      <c r="J13" s="10" t="n">
        <v>0.6756197492033273</v>
      </c>
      <c r="K13" s="4">
        <f>VLOOKUP(B13,$A$2:$D$4,2,FALSE)</f>
        <v/>
      </c>
      <c r="L13" s="4">
        <f>VLOOKUP(B13,$A$2:$D$4,3,FALSE)</f>
        <v/>
      </c>
      <c r="M13">
        <f>VLOOKUP(B13,$A$2:$D$4,4,FALSE)</f>
        <v/>
      </c>
      <c r="N13" s="8">
        <f>C13*(1+K13)</f>
        <v/>
      </c>
      <c r="O13" s="4">
        <f>MAX(D13+L13,0)</f>
        <v/>
      </c>
      <c r="P13" s="8">
        <f>N13*O13</f>
        <v/>
      </c>
      <c r="Q13" s="8">
        <f>P13+I13</f>
        <v/>
      </c>
      <c r="R13" s="8">
        <f>H13*M13</f>
        <v/>
      </c>
      <c r="S13" s="8">
        <f>Q13*J13</f>
        <v/>
      </c>
      <c r="T13" s="8">
        <f>S13-F13</f>
        <v/>
      </c>
      <c r="U13" s="10">
        <f>IFERROR(P13/R13,0)</f>
        <v/>
      </c>
      <c r="V13" s="10">
        <f>IFERROR(G13/Q13,0)</f>
        <v/>
      </c>
      <c r="W13" s="10">
        <f>IFERROR(T13/G13,0)</f>
        <v/>
      </c>
    </row>
    <row r="14">
      <c r="A14" t="inlineStr">
        <is>
          <t>Lowes</t>
        </is>
      </c>
      <c r="B14" t="inlineStr">
        <is>
          <t>Base</t>
        </is>
      </c>
      <c r="C14" s="8" t="n">
        <v>86286000000</v>
      </c>
      <c r="D14" s="4" t="n">
        <v>0.117666828917785</v>
      </c>
      <c r="E14" s="8" t="n">
        <v>9864000000</v>
      </c>
      <c r="F14" s="8" t="n">
        <v>2213000000</v>
      </c>
      <c r="G14" s="8" t="n">
        <v>39819000000</v>
      </c>
      <c r="H14" s="8" t="n">
        <v>1487000000</v>
      </c>
      <c r="I14" s="8" t="n">
        <v>1941000000</v>
      </c>
      <c r="J14" s="10" t="n">
        <v>0.8156110468000661</v>
      </c>
      <c r="K14" s="4">
        <f>VLOOKUP(B14,$A$2:$D$4,2,FALSE)</f>
        <v/>
      </c>
      <c r="L14" s="4">
        <f>VLOOKUP(B14,$A$2:$D$4,3,FALSE)</f>
        <v/>
      </c>
      <c r="M14">
        <f>VLOOKUP(B14,$A$2:$D$4,4,FALSE)</f>
        <v/>
      </c>
      <c r="N14" s="8">
        <f>C14*(1+K14)</f>
        <v/>
      </c>
      <c r="O14" s="4">
        <f>MAX(D14+L14,0)</f>
        <v/>
      </c>
      <c r="P14" s="8">
        <f>N14*O14</f>
        <v/>
      </c>
      <c r="Q14" s="8">
        <f>P14+I14</f>
        <v/>
      </c>
      <c r="R14" s="8">
        <f>H14*M14</f>
        <v/>
      </c>
      <c r="S14" s="8">
        <f>Q14*J14</f>
        <v/>
      </c>
      <c r="T14" s="8">
        <f>S14-F14</f>
        <v/>
      </c>
      <c r="U14" s="10">
        <f>IFERROR(P14/R14,0)</f>
        <v/>
      </c>
      <c r="V14" s="10">
        <f>IFERROR(G14/Q14,0)</f>
        <v/>
      </c>
      <c r="W14" s="10">
        <f>IFERROR(T14/G14,0)</f>
        <v/>
      </c>
    </row>
    <row r="15">
      <c r="A15" t="inlineStr">
        <is>
          <t>Lowes</t>
        </is>
      </c>
      <c r="B15" t="inlineStr">
        <is>
          <t>Moderate Stress</t>
        </is>
      </c>
      <c r="C15" s="8" t="n">
        <v>86286000000</v>
      </c>
      <c r="D15" s="4" t="n">
        <v>0.117666828917785</v>
      </c>
      <c r="E15" s="8" t="n">
        <v>9864000000</v>
      </c>
      <c r="F15" s="8" t="n">
        <v>2213000000</v>
      </c>
      <c r="G15" s="8" t="n">
        <v>39819000000</v>
      </c>
      <c r="H15" s="8" t="n">
        <v>1487000000</v>
      </c>
      <c r="I15" s="8" t="n">
        <v>1941000000</v>
      </c>
      <c r="J15" s="10" t="n">
        <v>0.8156110468000661</v>
      </c>
      <c r="K15" s="4">
        <f>VLOOKUP(B15,$A$2:$D$4,2,FALSE)</f>
        <v/>
      </c>
      <c r="L15" s="4">
        <f>VLOOKUP(B15,$A$2:$D$4,3,FALSE)</f>
        <v/>
      </c>
      <c r="M15">
        <f>VLOOKUP(B15,$A$2:$D$4,4,FALSE)</f>
        <v/>
      </c>
      <c r="N15" s="8">
        <f>C15*(1+K15)</f>
        <v/>
      </c>
      <c r="O15" s="4">
        <f>MAX(D15+L15,0)</f>
        <v/>
      </c>
      <c r="P15" s="8">
        <f>N15*O15</f>
        <v/>
      </c>
      <c r="Q15" s="8">
        <f>P15+I15</f>
        <v/>
      </c>
      <c r="R15" s="8">
        <f>H15*M15</f>
        <v/>
      </c>
      <c r="S15" s="8">
        <f>Q15*J15</f>
        <v/>
      </c>
      <c r="T15" s="8">
        <f>S15-F15</f>
        <v/>
      </c>
      <c r="U15" s="10">
        <f>IFERROR(P15/R15,0)</f>
        <v/>
      </c>
      <c r="V15" s="10">
        <f>IFERROR(G15/Q15,0)</f>
        <v/>
      </c>
      <c r="W15" s="10">
        <f>IFERROR(T15/G15,0)</f>
        <v/>
      </c>
    </row>
    <row r="16">
      <c r="A16" t="inlineStr">
        <is>
          <t>Lowes</t>
        </is>
      </c>
      <c r="B16" t="inlineStr">
        <is>
          <t>Severe Stress</t>
        </is>
      </c>
      <c r="C16" s="8" t="n">
        <v>86286000000</v>
      </c>
      <c r="D16" s="4" t="n">
        <v>0.117666828917785</v>
      </c>
      <c r="E16" s="8" t="n">
        <v>9864000000</v>
      </c>
      <c r="F16" s="8" t="n">
        <v>2213000000</v>
      </c>
      <c r="G16" s="8" t="n">
        <v>39819000000</v>
      </c>
      <c r="H16" s="8" t="n">
        <v>1487000000</v>
      </c>
      <c r="I16" s="8" t="n">
        <v>1941000000</v>
      </c>
      <c r="J16" s="10" t="n">
        <v>0.8156110468000661</v>
      </c>
      <c r="K16" s="4">
        <f>VLOOKUP(B16,$A$2:$D$4,2,FALSE)</f>
        <v/>
      </c>
      <c r="L16" s="4">
        <f>VLOOKUP(B16,$A$2:$D$4,3,FALSE)</f>
        <v/>
      </c>
      <c r="M16">
        <f>VLOOKUP(B16,$A$2:$D$4,4,FALSE)</f>
        <v/>
      </c>
      <c r="N16" s="8">
        <f>C16*(1+K16)</f>
        <v/>
      </c>
      <c r="O16" s="4">
        <f>MAX(D16+L16,0)</f>
        <v/>
      </c>
      <c r="P16" s="8">
        <f>N16*O16</f>
        <v/>
      </c>
      <c r="Q16" s="8">
        <f>P16+I16</f>
        <v/>
      </c>
      <c r="R16" s="8">
        <f>H16*M16</f>
        <v/>
      </c>
      <c r="S16" s="8">
        <f>Q16*J16</f>
        <v/>
      </c>
      <c r="T16" s="8">
        <f>S16-F16</f>
        <v/>
      </c>
      <c r="U16" s="10">
        <f>IFERROR(P16/R16,0)</f>
        <v/>
      </c>
      <c r="V16" s="10">
        <f>IFERROR(G16/Q16,0)</f>
        <v/>
      </c>
      <c r="W16" s="10">
        <f>IFERROR(T16/G16,0)</f>
        <v/>
      </c>
    </row>
    <row r="17">
      <c r="A17" t="inlineStr">
        <is>
          <t>Target</t>
        </is>
      </c>
      <c r="B17" t="inlineStr">
        <is>
          <t>Base</t>
        </is>
      </c>
      <c r="C17" s="8" t="n">
        <v>104780000000</v>
      </c>
      <c r="D17" s="4" t="n">
        <v>0.048835655659477</v>
      </c>
      <c r="E17" s="8" t="n">
        <v>6562000000</v>
      </c>
      <c r="F17" s="8" t="n">
        <v>3727000000</v>
      </c>
      <c r="G17" s="8" t="n">
        <v>14398000000</v>
      </c>
      <c r="H17" s="8" t="n">
        <v>445000000</v>
      </c>
      <c r="I17" s="8" t="n">
        <v>2617000000</v>
      </c>
      <c r="J17" s="10" t="n">
        <v>0.8484613395396948</v>
      </c>
      <c r="K17" s="4">
        <f>VLOOKUP(B17,$A$2:$D$4,2,FALSE)</f>
        <v/>
      </c>
      <c r="L17" s="4">
        <f>VLOOKUP(B17,$A$2:$D$4,3,FALSE)</f>
        <v/>
      </c>
      <c r="M17">
        <f>VLOOKUP(B17,$A$2:$D$4,4,FALSE)</f>
        <v/>
      </c>
      <c r="N17" s="8">
        <f>C17*(1+K17)</f>
        <v/>
      </c>
      <c r="O17" s="4">
        <f>MAX(D17+L17,0)</f>
        <v/>
      </c>
      <c r="P17" s="8">
        <f>N17*O17</f>
        <v/>
      </c>
      <c r="Q17" s="8">
        <f>P17+I17</f>
        <v/>
      </c>
      <c r="R17" s="8">
        <f>H17*M17</f>
        <v/>
      </c>
      <c r="S17" s="8">
        <f>Q17*J17</f>
        <v/>
      </c>
      <c r="T17" s="8">
        <f>S17-F17</f>
        <v/>
      </c>
      <c r="U17" s="10">
        <f>IFERROR(P17/R17,0)</f>
        <v/>
      </c>
      <c r="V17" s="10">
        <f>IFERROR(G17/Q17,0)</f>
        <v/>
      </c>
      <c r="W17" s="10">
        <f>IFERROR(T17/G17,0)</f>
        <v/>
      </c>
    </row>
    <row r="18">
      <c r="A18" t="inlineStr">
        <is>
          <t>Target</t>
        </is>
      </c>
      <c r="B18" t="inlineStr">
        <is>
          <t>Moderate Stress</t>
        </is>
      </c>
      <c r="C18" s="8" t="n">
        <v>104780000000</v>
      </c>
      <c r="D18" s="4" t="n">
        <v>0.048835655659477</v>
      </c>
      <c r="E18" s="8" t="n">
        <v>6562000000</v>
      </c>
      <c r="F18" s="8" t="n">
        <v>3727000000</v>
      </c>
      <c r="G18" s="8" t="n">
        <v>14398000000</v>
      </c>
      <c r="H18" s="8" t="n">
        <v>445000000</v>
      </c>
      <c r="I18" s="8" t="n">
        <v>2617000000</v>
      </c>
      <c r="J18" s="10" t="n">
        <v>0.8484613395396948</v>
      </c>
      <c r="K18" s="4">
        <f>VLOOKUP(B18,$A$2:$D$4,2,FALSE)</f>
        <v/>
      </c>
      <c r="L18" s="4">
        <f>VLOOKUP(B18,$A$2:$D$4,3,FALSE)</f>
        <v/>
      </c>
      <c r="M18">
        <f>VLOOKUP(B18,$A$2:$D$4,4,FALSE)</f>
        <v/>
      </c>
      <c r="N18" s="8">
        <f>C18*(1+K18)</f>
        <v/>
      </c>
      <c r="O18" s="4">
        <f>MAX(D18+L18,0)</f>
        <v/>
      </c>
      <c r="P18" s="8">
        <f>N18*O18</f>
        <v/>
      </c>
      <c r="Q18" s="8">
        <f>P18+I18</f>
        <v/>
      </c>
      <c r="R18" s="8">
        <f>H18*M18</f>
        <v/>
      </c>
      <c r="S18" s="8">
        <f>Q18*J18</f>
        <v/>
      </c>
      <c r="T18" s="8">
        <f>S18-F18</f>
        <v/>
      </c>
      <c r="U18" s="10">
        <f>IFERROR(P18/R18,0)</f>
        <v/>
      </c>
      <c r="V18" s="10">
        <f>IFERROR(G18/Q18,0)</f>
        <v/>
      </c>
      <c r="W18" s="10">
        <f>IFERROR(T18/G18,0)</f>
        <v/>
      </c>
    </row>
    <row r="19">
      <c r="A19" t="inlineStr">
        <is>
          <t>Target</t>
        </is>
      </c>
      <c r="B19" t="inlineStr">
        <is>
          <t>Severe Stress</t>
        </is>
      </c>
      <c r="C19" s="8" t="n">
        <v>104780000000</v>
      </c>
      <c r="D19" s="4" t="n">
        <v>0.048835655659477</v>
      </c>
      <c r="E19" s="8" t="n">
        <v>6562000000</v>
      </c>
      <c r="F19" s="8" t="n">
        <v>3727000000</v>
      </c>
      <c r="G19" s="8" t="n">
        <v>14398000000</v>
      </c>
      <c r="H19" s="8" t="n">
        <v>445000000</v>
      </c>
      <c r="I19" s="8" t="n">
        <v>2617000000</v>
      </c>
      <c r="J19" s="10" t="n">
        <v>0.8484613395396948</v>
      </c>
      <c r="K19" s="4">
        <f>VLOOKUP(B19,$A$2:$D$4,2,FALSE)</f>
        <v/>
      </c>
      <c r="L19" s="4">
        <f>VLOOKUP(B19,$A$2:$D$4,3,FALSE)</f>
        <v/>
      </c>
      <c r="M19">
        <f>VLOOKUP(B19,$A$2:$D$4,4,FALSE)</f>
        <v/>
      </c>
      <c r="N19" s="8">
        <f>C19*(1+K19)</f>
        <v/>
      </c>
      <c r="O19" s="4">
        <f>MAX(D19+L19,0)</f>
        <v/>
      </c>
      <c r="P19" s="8">
        <f>N19*O19</f>
        <v/>
      </c>
      <c r="Q19" s="8">
        <f>P19+I19</f>
        <v/>
      </c>
      <c r="R19" s="8">
        <f>H19*M19</f>
        <v/>
      </c>
      <c r="S19" s="8">
        <f>Q19*J19</f>
        <v/>
      </c>
      <c r="T19" s="8">
        <f>S19-F19</f>
        <v/>
      </c>
      <c r="U19" s="10">
        <f>IFERROR(P19/R19,0)</f>
        <v/>
      </c>
      <c r="V19" s="10">
        <f>IFERROR(G19/Q19,0)</f>
        <v/>
      </c>
      <c r="W19" s="10">
        <f>IFERROR(T19/G19,0)</f>
        <v/>
      </c>
    </row>
    <row r="20">
      <c r="A20" t="inlineStr">
        <is>
          <t>Walmart</t>
        </is>
      </c>
      <c r="B20" t="inlineStr">
        <is>
          <t>Base</t>
        </is>
      </c>
      <c r="C20" s="8" t="n">
        <v>706413000000</v>
      </c>
      <c r="D20" s="4" t="n">
        <v>0.04222034418958881</v>
      </c>
      <c r="E20" s="8" t="n">
        <v>41565000000</v>
      </c>
      <c r="F20" s="8" t="n">
        <v>26642000000</v>
      </c>
      <c r="G20" s="8" t="n">
        <v>38166000000</v>
      </c>
      <c r="H20" s="8" t="n">
        <v>2318000000</v>
      </c>
      <c r="I20" s="8" t="n">
        <v>14203000000</v>
      </c>
      <c r="J20" s="10" t="n">
        <v>0.9440583265194876</v>
      </c>
      <c r="K20" s="4">
        <f>VLOOKUP(B20,$A$2:$D$4,2,FALSE)</f>
        <v/>
      </c>
      <c r="L20" s="4">
        <f>VLOOKUP(B20,$A$2:$D$4,3,FALSE)</f>
        <v/>
      </c>
      <c r="M20">
        <f>VLOOKUP(B20,$A$2:$D$4,4,FALSE)</f>
        <v/>
      </c>
      <c r="N20" s="8">
        <f>C20*(1+K20)</f>
        <v/>
      </c>
      <c r="O20" s="4">
        <f>MAX(D20+L20,0)</f>
        <v/>
      </c>
      <c r="P20" s="8">
        <f>N20*O20</f>
        <v/>
      </c>
      <c r="Q20" s="8">
        <f>P20+I20</f>
        <v/>
      </c>
      <c r="R20" s="8">
        <f>H20*M20</f>
        <v/>
      </c>
      <c r="S20" s="8">
        <f>Q20*J20</f>
        <v/>
      </c>
      <c r="T20" s="8">
        <f>S20-F20</f>
        <v/>
      </c>
      <c r="U20" s="10">
        <f>IFERROR(P20/R20,0)</f>
        <v/>
      </c>
      <c r="V20" s="10">
        <f>IFERROR(G20/Q20,0)</f>
        <v/>
      </c>
      <c r="W20" s="10">
        <f>IFERROR(T20/G20,0)</f>
        <v/>
      </c>
    </row>
    <row r="21">
      <c r="A21" t="inlineStr">
        <is>
          <t>Walmart</t>
        </is>
      </c>
      <c r="B21" t="inlineStr">
        <is>
          <t>Moderate Stress</t>
        </is>
      </c>
      <c r="C21" s="8" t="n">
        <v>706413000000</v>
      </c>
      <c r="D21" s="4" t="n">
        <v>0.04222034418958881</v>
      </c>
      <c r="E21" s="8" t="n">
        <v>41565000000</v>
      </c>
      <c r="F21" s="8" t="n">
        <v>26642000000</v>
      </c>
      <c r="G21" s="8" t="n">
        <v>38166000000</v>
      </c>
      <c r="H21" s="8" t="n">
        <v>2318000000</v>
      </c>
      <c r="I21" s="8" t="n">
        <v>14203000000</v>
      </c>
      <c r="J21" s="10" t="n">
        <v>0.9440583265194876</v>
      </c>
      <c r="K21" s="4">
        <f>VLOOKUP(B21,$A$2:$D$4,2,FALSE)</f>
        <v/>
      </c>
      <c r="L21" s="4">
        <f>VLOOKUP(B21,$A$2:$D$4,3,FALSE)</f>
        <v/>
      </c>
      <c r="M21">
        <f>VLOOKUP(B21,$A$2:$D$4,4,FALSE)</f>
        <v/>
      </c>
      <c r="N21" s="8">
        <f>C21*(1+K21)</f>
        <v/>
      </c>
      <c r="O21" s="4">
        <f>MAX(D21+L21,0)</f>
        <v/>
      </c>
      <c r="P21" s="8">
        <f>N21*O21</f>
        <v/>
      </c>
      <c r="Q21" s="8">
        <f>P21+I21</f>
        <v/>
      </c>
      <c r="R21" s="8">
        <f>H21*M21</f>
        <v/>
      </c>
      <c r="S21" s="8">
        <f>Q21*J21</f>
        <v/>
      </c>
      <c r="T21" s="8">
        <f>S21-F21</f>
        <v/>
      </c>
      <c r="U21" s="10">
        <f>IFERROR(P21/R21,0)</f>
        <v/>
      </c>
      <c r="V21" s="10">
        <f>IFERROR(G21/Q21,0)</f>
        <v/>
      </c>
      <c r="W21" s="10">
        <f>IFERROR(T21/G21,0)</f>
        <v/>
      </c>
    </row>
    <row r="22">
      <c r="A22" t="inlineStr">
        <is>
          <t>Walmart</t>
        </is>
      </c>
      <c r="B22" t="inlineStr">
        <is>
          <t>Severe Stress</t>
        </is>
      </c>
      <c r="C22" s="8" t="n">
        <v>706413000000</v>
      </c>
      <c r="D22" s="4" t="n">
        <v>0.04222034418958881</v>
      </c>
      <c r="E22" s="8" t="n">
        <v>41565000000</v>
      </c>
      <c r="F22" s="8" t="n">
        <v>26642000000</v>
      </c>
      <c r="G22" s="8" t="n">
        <v>38166000000</v>
      </c>
      <c r="H22" s="8" t="n">
        <v>2318000000</v>
      </c>
      <c r="I22" s="8" t="n">
        <v>14203000000</v>
      </c>
      <c r="J22" s="10" t="n">
        <v>0.9440583265194876</v>
      </c>
      <c r="K22" s="4">
        <f>VLOOKUP(B22,$A$2:$D$4,2,FALSE)</f>
        <v/>
      </c>
      <c r="L22" s="4">
        <f>VLOOKUP(B22,$A$2:$D$4,3,FALSE)</f>
        <v/>
      </c>
      <c r="M22">
        <f>VLOOKUP(B22,$A$2:$D$4,4,FALSE)</f>
        <v/>
      </c>
      <c r="N22" s="8">
        <f>C22*(1+K22)</f>
        <v/>
      </c>
      <c r="O22" s="4">
        <f>MAX(D22+L22,0)</f>
        <v/>
      </c>
      <c r="P22" s="8">
        <f>N22*O22</f>
        <v/>
      </c>
      <c r="Q22" s="8">
        <f>P22+I22</f>
        <v/>
      </c>
      <c r="R22" s="8">
        <f>H22*M22</f>
        <v/>
      </c>
      <c r="S22" s="8">
        <f>Q22*J22</f>
        <v/>
      </c>
      <c r="T22" s="8">
        <f>S22-F22</f>
        <v/>
      </c>
      <c r="U22" s="10">
        <f>IFERROR(P22/R22,0)</f>
        <v/>
      </c>
      <c r="V22" s="10">
        <f>IFERROR(G22/Q22,0)</f>
        <v/>
      </c>
      <c r="W22" s="10">
        <f>IFERROR(T22/G22,0)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2026-08-31T12:03:12Z</dcterms:created>
  <dcterms:modified xsi:type="dcterms:W3CDTF">2026-08-31T12:05:01Z</dcterms:modified>
</cp:coreProperties>
</file>